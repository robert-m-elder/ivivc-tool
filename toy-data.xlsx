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Users/robert.elder/Downloads/"/>
    </mc:Choice>
  </mc:AlternateContent>
  <xr:revisionPtr revIDLastSave="0" documentId="13_ncr:1_{E7677458-473C-9749-BA40-899108AB4B19}" xr6:coauthVersionLast="47" xr6:coauthVersionMax="47" xr10:uidLastSave="{00000000-0000-0000-0000-000000000000}"/>
  <bookViews>
    <workbookView xWindow="0" yWindow="620" windowWidth="51200" windowHeight="28180" activeTab="8" xr2:uid="{00000000-000D-0000-FFFF-FFFF00000000}"/>
  </bookViews>
  <sheets>
    <sheet name="Single exponential (smooth)" sheetId="3" r:id="rId1"/>
    <sheet name="Stretched exponential (smooth)" sheetId="1" r:id="rId2"/>
    <sheet name="Double exponential (smooth)" sheetId="4" r:id="rId3"/>
    <sheet name="One-phase mass loss (smooth)" sheetId="11" r:id="rId4"/>
    <sheet name="Two-phase mass loss (smooth)" sheetId="9" r:id="rId5"/>
    <sheet name="Single exponential (noisy)" sheetId="6" r:id="rId6"/>
    <sheet name="Stretched exponential (noisy)" sheetId="2" r:id="rId7"/>
    <sheet name="Double exponential (noisy)" sheetId="7" r:id="rId8"/>
    <sheet name="One-phase mass loss (noisy)" sheetId="12" r:id="rId9"/>
    <sheet name="Two-phase mass loss (noisy)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1" l="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D17" i="11"/>
  <c r="B17" i="11"/>
  <c r="D16" i="11"/>
  <c r="B16" i="11"/>
  <c r="D15" i="11"/>
  <c r="B15" i="11"/>
  <c r="D14" i="11"/>
  <c r="B14" i="11"/>
  <c r="D13" i="11"/>
  <c r="B13" i="11"/>
  <c r="D12" i="11"/>
  <c r="B12" i="11"/>
  <c r="D11" i="11"/>
  <c r="B11" i="11"/>
  <c r="D10" i="11"/>
  <c r="B10" i="11"/>
  <c r="D9" i="11"/>
  <c r="B9" i="11"/>
  <c r="D8" i="11"/>
  <c r="B8" i="11"/>
  <c r="D7" i="11"/>
  <c r="B7" i="11"/>
  <c r="D6" i="11"/>
  <c r="B6" i="11"/>
  <c r="D5" i="11"/>
  <c r="B5" i="11"/>
  <c r="D4" i="11"/>
  <c r="B4" i="11"/>
  <c r="D3" i="11"/>
  <c r="B3" i="11"/>
  <c r="D2" i="11"/>
  <c r="B2" i="11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D17" i="9"/>
  <c r="B17" i="9"/>
  <c r="D16" i="9"/>
  <c r="B16" i="9"/>
  <c r="D15" i="9"/>
  <c r="B15" i="9"/>
  <c r="D14" i="9"/>
  <c r="B14" i="9"/>
  <c r="D13" i="9"/>
  <c r="B13" i="9"/>
  <c r="D12" i="9"/>
  <c r="B12" i="9"/>
  <c r="D11" i="9"/>
  <c r="B11" i="9"/>
  <c r="D10" i="9"/>
  <c r="B10" i="9"/>
  <c r="D9" i="9"/>
  <c r="B9" i="9"/>
  <c r="D8" i="9"/>
  <c r="B8" i="9"/>
  <c r="D7" i="9"/>
  <c r="B7" i="9"/>
  <c r="D6" i="9"/>
  <c r="B6" i="9"/>
  <c r="D5" i="9"/>
  <c r="B5" i="9"/>
  <c r="D4" i="9"/>
  <c r="B4" i="9"/>
  <c r="D3" i="9"/>
  <c r="B3" i="9"/>
  <c r="D2" i="9"/>
  <c r="B2" i="9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D17" i="3"/>
  <c r="B17" i="3"/>
  <c r="D16" i="3"/>
  <c r="B16" i="3"/>
  <c r="D15" i="3"/>
  <c r="B15" i="3"/>
  <c r="D14" i="3"/>
  <c r="B14" i="3"/>
  <c r="D13" i="3"/>
  <c r="B13" i="3"/>
  <c r="D12" i="3"/>
  <c r="B12" i="3"/>
  <c r="D11" i="3"/>
  <c r="B11" i="3"/>
  <c r="D10" i="3"/>
  <c r="B10" i="3"/>
  <c r="D9" i="3"/>
  <c r="B9" i="3"/>
  <c r="D8" i="3"/>
  <c r="B8" i="3"/>
  <c r="D7" i="3"/>
  <c r="B7" i="3"/>
  <c r="D6" i="3"/>
  <c r="B6" i="3"/>
  <c r="D5" i="3"/>
  <c r="B5" i="3"/>
  <c r="D4" i="3"/>
  <c r="B4" i="3"/>
  <c r="D3" i="3"/>
  <c r="B3" i="3"/>
  <c r="D2" i="3"/>
  <c r="B2" i="3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D17" i="4"/>
  <c r="B17" i="4"/>
  <c r="D16" i="4"/>
  <c r="B16" i="4"/>
  <c r="D15" i="4"/>
  <c r="B15" i="4"/>
  <c r="D14" i="4"/>
  <c r="B14" i="4"/>
  <c r="D13" i="4"/>
  <c r="B13" i="4"/>
  <c r="D12" i="4"/>
  <c r="B12" i="4"/>
  <c r="D11" i="4"/>
  <c r="B11" i="4"/>
  <c r="D10" i="4"/>
  <c r="B10" i="4"/>
  <c r="D9" i="4"/>
  <c r="B9" i="4"/>
  <c r="D8" i="4"/>
  <c r="B8" i="4"/>
  <c r="D7" i="4"/>
  <c r="B7" i="4"/>
  <c r="D6" i="4"/>
  <c r="B6" i="4"/>
  <c r="D5" i="4"/>
  <c r="B5" i="4"/>
  <c r="D4" i="4"/>
  <c r="B4" i="4"/>
  <c r="D3" i="4"/>
  <c r="B3" i="4"/>
  <c r="D2" i="4"/>
  <c r="B2" i="4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D17" i="1"/>
  <c r="B17" i="1"/>
  <c r="D16" i="1"/>
  <c r="B16" i="1"/>
  <c r="D15" i="1"/>
  <c r="B15" i="1"/>
  <c r="D14" i="1"/>
  <c r="B14" i="1"/>
  <c r="D13" i="1"/>
  <c r="B13" i="1"/>
  <c r="D12" i="1"/>
  <c r="B12" i="1"/>
  <c r="D11" i="1"/>
  <c r="B11" i="1"/>
  <c r="D10" i="1"/>
  <c r="B10" i="1"/>
  <c r="D9" i="1"/>
  <c r="B9" i="1"/>
  <c r="D8" i="1"/>
  <c r="B8" i="1"/>
  <c r="D7" i="1"/>
  <c r="B7" i="1"/>
  <c r="D6" i="1"/>
  <c r="B6" i="1"/>
  <c r="D5" i="1"/>
  <c r="B5" i="1"/>
  <c r="D4" i="1"/>
  <c r="B4" i="1"/>
  <c r="D3" i="1"/>
  <c r="B3" i="1"/>
  <c r="D2" i="1"/>
  <c r="B2" i="1"/>
</calcChain>
</file>

<file path=xl/sharedStrings.xml><?xml version="1.0" encoding="utf-8"?>
<sst xmlns="http://schemas.openxmlformats.org/spreadsheetml/2006/main" count="40" uniqueCount="4">
  <si>
    <t>time1</t>
  </si>
  <si>
    <t>value1</t>
  </si>
  <si>
    <t>time2</t>
  </si>
  <si>
    <t>value2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</si>
</sst>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2"/>
      <color theme="1"/>
      <name val="Aptos Narrow"/>
    </font>
    <font>
      <b/>
      <sz val="12"/>
      <color theme="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1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2"/>
  <sheetViews>
    <sheetView workbookViewId="0"/>
  </sheetViews>
  <sheetFormatPr baseColWidth="10" defaultColWidth="8.83203125" defaultRowHeight="16" x14ac:dyDescent="0.2"/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>
        <v>0</v>
      </c>
      <c r="B2" s="1">
        <f t="shared" ref="B2:B32" si="0">EXP(-0.09*A2)</f>
        <v>1</v>
      </c>
      <c r="C2">
        <v>0</v>
      </c>
      <c r="D2" s="1">
        <f t="shared" ref="D2:D17" si="1">EXP(-0.07*C2)</f>
        <v>1</v>
      </c>
    </row>
    <row r="3" spans="1:4" x14ac:dyDescent="0.2">
      <c r="A3">
        <v>1</v>
      </c>
      <c r="B3" s="1">
        <f t="shared" si="0"/>
        <v>0.91393118527122819</v>
      </c>
      <c r="C3">
        <v>2</v>
      </c>
      <c r="D3" s="1">
        <f t="shared" si="1"/>
        <v>0.86935823539880586</v>
      </c>
    </row>
    <row r="4" spans="1:4" x14ac:dyDescent="0.2">
      <c r="A4">
        <v>2</v>
      </c>
      <c r="B4" s="1">
        <f t="shared" si="0"/>
        <v>0.835270211411272</v>
      </c>
      <c r="C4">
        <v>4</v>
      </c>
      <c r="D4" s="1">
        <f t="shared" si="1"/>
        <v>0.75578374145572547</v>
      </c>
    </row>
    <row r="5" spans="1:4" x14ac:dyDescent="0.2">
      <c r="A5">
        <v>3</v>
      </c>
      <c r="B5" s="1">
        <f t="shared" si="0"/>
        <v>0.76337949433685315</v>
      </c>
      <c r="C5">
        <v>6</v>
      </c>
      <c r="D5" s="1">
        <f t="shared" si="1"/>
        <v>0.65704681981505675</v>
      </c>
    </row>
    <row r="6" spans="1:4" x14ac:dyDescent="0.2">
      <c r="A6">
        <v>4</v>
      </c>
      <c r="B6" s="1">
        <f t="shared" si="0"/>
        <v>0.69767632607103103</v>
      </c>
      <c r="C6">
        <v>8</v>
      </c>
      <c r="D6" s="1">
        <f t="shared" si="1"/>
        <v>0.57120906384881487</v>
      </c>
    </row>
    <row r="7" spans="1:4" x14ac:dyDescent="0.2">
      <c r="A7">
        <v>5</v>
      </c>
      <c r="B7" s="1">
        <f t="shared" si="0"/>
        <v>0.63762815162177333</v>
      </c>
      <c r="C7">
        <v>10</v>
      </c>
      <c r="D7" s="1">
        <f t="shared" si="1"/>
        <v>0.49658530379140947</v>
      </c>
    </row>
    <row r="8" spans="1:4" x14ac:dyDescent="0.2">
      <c r="A8">
        <v>6</v>
      </c>
      <c r="B8" s="1">
        <f t="shared" si="0"/>
        <v>0.58274825237398964</v>
      </c>
      <c r="C8">
        <v>12</v>
      </c>
      <c r="D8" s="1">
        <f t="shared" si="1"/>
        <v>0.43171052342907967</v>
      </c>
    </row>
    <row r="9" spans="1:4" x14ac:dyDescent="0.2">
      <c r="A9">
        <v>7</v>
      </c>
      <c r="B9" s="1">
        <f t="shared" si="0"/>
        <v>0.53259180100689718</v>
      </c>
      <c r="C9">
        <v>14</v>
      </c>
      <c r="D9" s="1">
        <f t="shared" si="1"/>
        <v>0.37531109885139952</v>
      </c>
    </row>
    <row r="10" spans="1:4" x14ac:dyDescent="0.2">
      <c r="A10">
        <v>8</v>
      </c>
      <c r="B10" s="1">
        <f t="shared" si="0"/>
        <v>0.48675225595997168</v>
      </c>
      <c r="C10">
        <v>16</v>
      </c>
      <c r="D10" s="1">
        <f t="shared" si="1"/>
        <v>0.32627979462303947</v>
      </c>
    </row>
    <row r="11" spans="1:4" x14ac:dyDescent="0.2">
      <c r="A11">
        <v>9</v>
      </c>
      <c r="B11" s="1">
        <f t="shared" si="0"/>
        <v>0.44485806622294116</v>
      </c>
      <c r="C11">
        <v>18</v>
      </c>
      <c r="D11" s="1">
        <f t="shared" si="1"/>
        <v>0.28365402649977028</v>
      </c>
    </row>
    <row r="12" spans="1:4" x14ac:dyDescent="0.2">
      <c r="A12">
        <v>10</v>
      </c>
      <c r="B12" s="1">
        <f t="shared" si="0"/>
        <v>0.40656965974059917</v>
      </c>
      <c r="C12">
        <v>20</v>
      </c>
      <c r="D12" s="1">
        <f t="shared" si="1"/>
        <v>0.24659696394160643</v>
      </c>
    </row>
    <row r="13" spans="1:4" x14ac:dyDescent="0.2">
      <c r="A13">
        <v>11</v>
      </c>
      <c r="B13" s="1">
        <f t="shared" si="0"/>
        <v>0.37157669102204571</v>
      </c>
      <c r="C13">
        <v>22</v>
      </c>
      <c r="D13" s="1">
        <f t="shared" si="1"/>
        <v>0.21438110142697794</v>
      </c>
    </row>
    <row r="14" spans="1:4" x14ac:dyDescent="0.2">
      <c r="A14">
        <v>12</v>
      </c>
      <c r="B14" s="1">
        <f t="shared" si="0"/>
        <v>0.33959552564493911</v>
      </c>
      <c r="C14">
        <v>24</v>
      </c>
      <c r="D14" s="1">
        <f t="shared" si="1"/>
        <v>0.18637397603940994</v>
      </c>
    </row>
    <row r="15" spans="1:4" x14ac:dyDescent="0.2">
      <c r="A15">
        <v>13</v>
      </c>
      <c r="B15" s="1">
        <f t="shared" si="0"/>
        <v>0.31036694126548503</v>
      </c>
      <c r="C15">
        <v>26</v>
      </c>
      <c r="D15" s="1">
        <f t="shared" si="1"/>
        <v>0.16202575093388072</v>
      </c>
    </row>
    <row r="16" spans="1:4" x14ac:dyDescent="0.2">
      <c r="A16">
        <v>14</v>
      </c>
      <c r="B16" s="1">
        <f t="shared" si="0"/>
        <v>0.2836540264997704</v>
      </c>
      <c r="C16">
        <v>28</v>
      </c>
      <c r="D16" s="1">
        <f t="shared" si="1"/>
        <v>0.14085842092104497</v>
      </c>
    </row>
    <row r="17" spans="1:4" x14ac:dyDescent="0.2">
      <c r="A17">
        <v>15</v>
      </c>
      <c r="B17" s="1">
        <f t="shared" si="0"/>
        <v>0.25924026064589156</v>
      </c>
      <c r="C17">
        <v>30</v>
      </c>
      <c r="D17" s="1">
        <f t="shared" si="1"/>
        <v>0.12245642825298191</v>
      </c>
    </row>
    <row r="18" spans="1:4" x14ac:dyDescent="0.2">
      <c r="A18">
        <v>16</v>
      </c>
      <c r="B18" s="1">
        <f t="shared" si="0"/>
        <v>0.23692775868212176</v>
      </c>
    </row>
    <row r="19" spans="1:4" x14ac:dyDescent="0.2">
      <c r="A19">
        <v>17</v>
      </c>
      <c r="B19" s="1">
        <f t="shared" si="0"/>
        <v>0.21653566731600707</v>
      </c>
    </row>
    <row r="20" spans="1:4" x14ac:dyDescent="0.2">
      <c r="A20">
        <v>18</v>
      </c>
      <c r="B20" s="1">
        <f t="shared" si="0"/>
        <v>0.19789869908361471</v>
      </c>
    </row>
    <row r="21" spans="1:4" x14ac:dyDescent="0.2">
      <c r="A21">
        <v>19</v>
      </c>
      <c r="B21" s="1">
        <f t="shared" si="0"/>
        <v>0.1808657926171221</v>
      </c>
    </row>
    <row r="22" spans="1:4" x14ac:dyDescent="0.2">
      <c r="A22">
        <v>20</v>
      </c>
      <c r="B22" s="1">
        <f t="shared" si="0"/>
        <v>0.16529888822158656</v>
      </c>
    </row>
    <row r="23" spans="1:4" x14ac:dyDescent="0.2">
      <c r="A23">
        <v>21</v>
      </c>
      <c r="B23" s="1">
        <f t="shared" si="0"/>
        <v>0.15107180883637086</v>
      </c>
    </row>
    <row r="24" spans="1:4" x14ac:dyDescent="0.2">
      <c r="A24">
        <v>22</v>
      </c>
      <c r="B24" s="1">
        <f t="shared" si="0"/>
        <v>0.13806923731089282</v>
      </c>
    </row>
    <row r="25" spans="1:4" x14ac:dyDescent="0.2">
      <c r="A25">
        <v>23</v>
      </c>
      <c r="B25" s="1">
        <f t="shared" si="0"/>
        <v>0.12618578170503877</v>
      </c>
    </row>
    <row r="26" spans="1:4" x14ac:dyDescent="0.2">
      <c r="A26">
        <v>24</v>
      </c>
      <c r="B26" s="1">
        <f t="shared" si="0"/>
        <v>0.11532512103806251</v>
      </c>
    </row>
    <row r="27" spans="1:4" x14ac:dyDescent="0.2">
      <c r="A27">
        <v>25</v>
      </c>
      <c r="B27" s="1">
        <f t="shared" si="0"/>
        <v>0.10539922456186433</v>
      </c>
    </row>
    <row r="28" spans="1:4" x14ac:dyDescent="0.2">
      <c r="A28">
        <v>26</v>
      </c>
      <c r="B28" s="1">
        <f t="shared" si="0"/>
        <v>9.6327638230493035E-2</v>
      </c>
    </row>
    <row r="29" spans="1:4" x14ac:dyDescent="0.2">
      <c r="A29">
        <v>27</v>
      </c>
      <c r="B29" s="1">
        <f t="shared" si="0"/>
        <v>8.803683258237259E-2</v>
      </c>
    </row>
    <row r="30" spans="1:4" x14ac:dyDescent="0.2">
      <c r="A30">
        <v>28</v>
      </c>
      <c r="B30" s="1">
        <f t="shared" si="0"/>
        <v>8.0459606749532439E-2</v>
      </c>
    </row>
    <row r="31" spans="1:4" x14ac:dyDescent="0.2">
      <c r="A31">
        <v>29</v>
      </c>
      <c r="B31" s="1">
        <f t="shared" si="0"/>
        <v>7.3534543763057097E-2</v>
      </c>
    </row>
    <row r="32" spans="1:4" x14ac:dyDescent="0.2">
      <c r="A32">
        <v>30</v>
      </c>
      <c r="B32" s="1">
        <f t="shared" si="0"/>
        <v>6.7205512739749784E-2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workbookViewId="0">
      <selection activeCell="Q33" sqref="Q33"/>
    </sheetView>
  </sheetViews>
  <sheetFormatPr baseColWidth="10" defaultRowHeight="16" x14ac:dyDescent="0.2"/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>
        <v>0</v>
      </c>
      <c r="B2">
        <f>EXP(-(A2^2)/100)</f>
        <v>1</v>
      </c>
      <c r="C2">
        <v>0</v>
      </c>
      <c r="D2">
        <f>EXP(-(C2^1.5)/50)</f>
        <v>1</v>
      </c>
    </row>
    <row r="3" spans="1:4" x14ac:dyDescent="0.2">
      <c r="A3">
        <v>1</v>
      </c>
      <c r="B3">
        <f t="shared" ref="B3:B32" si="0">EXP(-(A3^2)/100)</f>
        <v>0.99004983374916811</v>
      </c>
      <c r="C3">
        <v>2</v>
      </c>
      <c r="D3">
        <f t="shared" ref="D3:D17" si="1">EXP(-(C3^1.5)/50)</f>
        <v>0.94500170950037587</v>
      </c>
    </row>
    <row r="4" spans="1:4" x14ac:dyDescent="0.2">
      <c r="A4">
        <v>2</v>
      </c>
      <c r="B4">
        <f t="shared" si="0"/>
        <v>0.96078943915232318</v>
      </c>
      <c r="C4">
        <v>4</v>
      </c>
      <c r="D4">
        <f t="shared" si="1"/>
        <v>0.85214378896621135</v>
      </c>
    </row>
    <row r="5" spans="1:4" x14ac:dyDescent="0.2">
      <c r="A5">
        <v>3</v>
      </c>
      <c r="B5">
        <f t="shared" si="0"/>
        <v>0.91393118527122819</v>
      </c>
      <c r="C5">
        <v>6</v>
      </c>
      <c r="D5">
        <f t="shared" si="1"/>
        <v>0.74532212676541387</v>
      </c>
    </row>
    <row r="6" spans="1:4" x14ac:dyDescent="0.2">
      <c r="A6">
        <v>4</v>
      </c>
      <c r="B6">
        <f t="shared" si="0"/>
        <v>0.85214378896621135</v>
      </c>
      <c r="C6">
        <v>8</v>
      </c>
      <c r="D6">
        <f t="shared" si="1"/>
        <v>0.63600532695645773</v>
      </c>
    </row>
    <row r="7" spans="1:4" x14ac:dyDescent="0.2">
      <c r="A7">
        <v>5</v>
      </c>
      <c r="B7">
        <f t="shared" si="0"/>
        <v>0.77880078307140488</v>
      </c>
      <c r="C7">
        <v>10</v>
      </c>
      <c r="D7">
        <f t="shared" si="1"/>
        <v>0.53128560913296774</v>
      </c>
    </row>
    <row r="8" spans="1:4" x14ac:dyDescent="0.2">
      <c r="A8">
        <v>6</v>
      </c>
      <c r="B8">
        <f t="shared" si="0"/>
        <v>0.69767632607103103</v>
      </c>
      <c r="C8">
        <v>12</v>
      </c>
      <c r="D8">
        <f t="shared" si="1"/>
        <v>0.43544604273996829</v>
      </c>
    </row>
    <row r="9" spans="1:4" x14ac:dyDescent="0.2">
      <c r="A9">
        <v>7</v>
      </c>
      <c r="B9">
        <f t="shared" si="0"/>
        <v>0.61262639418441611</v>
      </c>
      <c r="C9">
        <v>14</v>
      </c>
      <c r="D9">
        <f t="shared" si="1"/>
        <v>0.35075613526843741</v>
      </c>
    </row>
    <row r="10" spans="1:4" x14ac:dyDescent="0.2">
      <c r="A10">
        <v>8</v>
      </c>
      <c r="B10">
        <f t="shared" si="0"/>
        <v>0.52729242404304855</v>
      </c>
      <c r="C10">
        <v>16</v>
      </c>
      <c r="D10">
        <f t="shared" si="1"/>
        <v>0.27803730045319425</v>
      </c>
    </row>
    <row r="11" spans="1:4" x14ac:dyDescent="0.2">
      <c r="A11">
        <v>9</v>
      </c>
      <c r="B11">
        <f t="shared" si="0"/>
        <v>0.44485806622294111</v>
      </c>
      <c r="C11">
        <v>18</v>
      </c>
      <c r="D11">
        <f t="shared" si="1"/>
        <v>0.21711010726822624</v>
      </c>
    </row>
    <row r="12" spans="1:4" x14ac:dyDescent="0.2">
      <c r="A12">
        <v>10</v>
      </c>
      <c r="B12">
        <f t="shared" si="0"/>
        <v>0.36787944117144233</v>
      </c>
      <c r="C12">
        <v>20</v>
      </c>
      <c r="D12">
        <f t="shared" si="1"/>
        <v>0.16715155184722616</v>
      </c>
    </row>
    <row r="13" spans="1:4" x14ac:dyDescent="0.2">
      <c r="A13">
        <v>11</v>
      </c>
      <c r="B13">
        <f t="shared" si="0"/>
        <v>0.29819727942988739</v>
      </c>
      <c r="C13">
        <v>22</v>
      </c>
      <c r="D13">
        <f t="shared" si="1"/>
        <v>0.12697273071958889</v>
      </c>
    </row>
    <row r="14" spans="1:4" x14ac:dyDescent="0.2">
      <c r="A14">
        <v>12</v>
      </c>
      <c r="B14">
        <f t="shared" si="0"/>
        <v>0.23692775868212176</v>
      </c>
      <c r="C14">
        <v>24</v>
      </c>
      <c r="D14">
        <f t="shared" si="1"/>
        <v>9.5225248875206642E-2</v>
      </c>
    </row>
    <row r="15" spans="1:4" x14ac:dyDescent="0.2">
      <c r="A15">
        <v>13</v>
      </c>
      <c r="B15">
        <f t="shared" si="0"/>
        <v>0.18451952399298926</v>
      </c>
      <c r="C15">
        <v>26</v>
      </c>
      <c r="D15">
        <f t="shared" si="1"/>
        <v>7.0546010765332304E-2</v>
      </c>
    </row>
    <row r="16" spans="1:4" x14ac:dyDescent="0.2">
      <c r="A16">
        <v>14</v>
      </c>
      <c r="B16">
        <f t="shared" si="0"/>
        <v>0.140858420921045</v>
      </c>
      <c r="C16">
        <v>28</v>
      </c>
      <c r="D16">
        <f t="shared" si="1"/>
        <v>5.1651219730399246E-2</v>
      </c>
    </row>
    <row r="17" spans="1:4" x14ac:dyDescent="0.2">
      <c r="A17">
        <v>15</v>
      </c>
      <c r="B17">
        <f t="shared" si="0"/>
        <v>0.10539922456186433</v>
      </c>
      <c r="C17">
        <v>30</v>
      </c>
      <c r="D17">
        <f t="shared" si="1"/>
        <v>3.7390622360313187E-2</v>
      </c>
    </row>
    <row r="18" spans="1:4" x14ac:dyDescent="0.2">
      <c r="A18">
        <v>16</v>
      </c>
      <c r="B18">
        <f t="shared" si="0"/>
        <v>7.7304740443299741E-2</v>
      </c>
    </row>
    <row r="19" spans="1:4" x14ac:dyDescent="0.2">
      <c r="A19">
        <v>17</v>
      </c>
      <c r="B19">
        <f t="shared" si="0"/>
        <v>5.5576212611483058E-2</v>
      </c>
    </row>
    <row r="20" spans="1:4" x14ac:dyDescent="0.2">
      <c r="A20">
        <v>18</v>
      </c>
      <c r="B20">
        <f t="shared" si="0"/>
        <v>3.9163895098987066E-2</v>
      </c>
    </row>
    <row r="21" spans="1:4" x14ac:dyDescent="0.2">
      <c r="A21">
        <v>19</v>
      </c>
      <c r="B21">
        <f t="shared" si="0"/>
        <v>2.7051846866350416E-2</v>
      </c>
    </row>
    <row r="22" spans="1:4" x14ac:dyDescent="0.2">
      <c r="A22">
        <v>20</v>
      </c>
      <c r="B22">
        <f t="shared" si="0"/>
        <v>1.8315638888734179E-2</v>
      </c>
    </row>
    <row r="23" spans="1:4" x14ac:dyDescent="0.2">
      <c r="A23">
        <v>21</v>
      </c>
      <c r="B23">
        <f t="shared" si="0"/>
        <v>1.2155178329914935E-2</v>
      </c>
    </row>
    <row r="24" spans="1:4" x14ac:dyDescent="0.2">
      <c r="A24">
        <v>22</v>
      </c>
      <c r="B24">
        <f t="shared" si="0"/>
        <v>7.9070540515934415E-3</v>
      </c>
    </row>
    <row r="25" spans="1:4" x14ac:dyDescent="0.2">
      <c r="A25">
        <v>23</v>
      </c>
      <c r="B25">
        <f t="shared" si="0"/>
        <v>5.041760259690979E-3</v>
      </c>
    </row>
    <row r="26" spans="1:4" x14ac:dyDescent="0.2">
      <c r="A26">
        <v>24</v>
      </c>
      <c r="B26">
        <f t="shared" si="0"/>
        <v>3.1511115984444414E-3</v>
      </c>
    </row>
    <row r="27" spans="1:4" x14ac:dyDescent="0.2">
      <c r="A27">
        <v>25</v>
      </c>
      <c r="B27">
        <f t="shared" si="0"/>
        <v>1.9304541362277093E-3</v>
      </c>
    </row>
    <row r="28" spans="1:4" x14ac:dyDescent="0.2">
      <c r="A28">
        <v>26</v>
      </c>
      <c r="B28">
        <f t="shared" si="0"/>
        <v>1.1592291739045914E-3</v>
      </c>
    </row>
    <row r="29" spans="1:4" x14ac:dyDescent="0.2">
      <c r="A29">
        <v>27</v>
      </c>
      <c r="B29">
        <f t="shared" si="0"/>
        <v>6.8232805275637658E-4</v>
      </c>
    </row>
    <row r="30" spans="1:4" x14ac:dyDescent="0.2">
      <c r="A30">
        <v>28</v>
      </c>
      <c r="B30">
        <f t="shared" si="0"/>
        <v>3.9366904065507829E-4</v>
      </c>
    </row>
    <row r="31" spans="1:4" x14ac:dyDescent="0.2">
      <c r="A31">
        <v>29</v>
      </c>
      <c r="B31">
        <f t="shared" si="0"/>
        <v>2.2262985691888897E-4</v>
      </c>
    </row>
    <row r="32" spans="1:4" x14ac:dyDescent="0.2">
      <c r="A32">
        <v>30</v>
      </c>
      <c r="B32">
        <f t="shared" si="0"/>
        <v>1.2340980408667956E-4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2"/>
  <sheetViews>
    <sheetView workbookViewId="0"/>
  </sheetViews>
  <sheetFormatPr baseColWidth="10" defaultColWidth="8.83203125" defaultRowHeight="16" x14ac:dyDescent="0.2"/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>
        <v>0</v>
      </c>
      <c r="B2" s="1">
        <f t="shared" ref="B2:B32" si="0">0.6*EXP(-0.3*A2)+0.4*EXP(-0.035*A2)</f>
        <v>1</v>
      </c>
      <c r="C2">
        <v>0</v>
      </c>
      <c r="D2" s="1">
        <f t="shared" ref="D2:D17" si="1">0.45*EXP(-0.2*C2)+0.55*EXP(-0.025*C2)</f>
        <v>1</v>
      </c>
    </row>
    <row r="3" spans="1:4" x14ac:dyDescent="0.2">
      <c r="A3">
        <v>1</v>
      </c>
      <c r="B3" s="1">
        <f t="shared" si="0"/>
        <v>0.83073309891205738</v>
      </c>
      <c r="C3">
        <v>2</v>
      </c>
      <c r="D3" s="1">
        <f t="shared" si="1"/>
        <v>0.82482020419143043</v>
      </c>
    </row>
    <row r="4" spans="1:4" x14ac:dyDescent="0.2">
      <c r="A4">
        <v>2</v>
      </c>
      <c r="B4" s="1">
        <f t="shared" si="0"/>
        <v>0.70224450961879525</v>
      </c>
      <c r="C4">
        <v>4</v>
      </c>
      <c r="D4" s="1">
        <f t="shared" si="1"/>
        <v>0.69985861377252756</v>
      </c>
    </row>
    <row r="5" spans="1:4" x14ac:dyDescent="0.2">
      <c r="A5">
        <v>3</v>
      </c>
      <c r="B5" s="1">
        <f t="shared" si="0"/>
        <v>0.60407160487886569</v>
      </c>
      <c r="C5">
        <v>6</v>
      </c>
      <c r="D5" s="1">
        <f t="shared" si="1"/>
        <v>0.60892678239427278</v>
      </c>
    </row>
    <row r="6" spans="1:4" x14ac:dyDescent="0.2">
      <c r="A6">
        <v>4</v>
      </c>
      <c r="B6" s="1">
        <f t="shared" si="0"/>
        <v>0.52845982130684366</v>
      </c>
      <c r="C6">
        <v>8</v>
      </c>
      <c r="D6" s="1">
        <f t="shared" si="1"/>
        <v>0.54115534729048498</v>
      </c>
    </row>
    <row r="7" spans="1:4" x14ac:dyDescent="0.2">
      <c r="A7">
        <v>5</v>
      </c>
      <c r="B7" s="1">
        <f t="shared" si="0"/>
        <v>0.46966090439674085</v>
      </c>
      <c r="C7">
        <v>10</v>
      </c>
      <c r="D7" s="1">
        <f t="shared" si="1"/>
        <v>0.48924130814574845</v>
      </c>
    </row>
    <row r="8" spans="1:4" x14ac:dyDescent="0.2">
      <c r="A8">
        <v>6</v>
      </c>
      <c r="B8" s="1">
        <f t="shared" si="0"/>
        <v>0.42341303132102681</v>
      </c>
      <c r="C8">
        <v>12</v>
      </c>
      <c r="D8" s="1">
        <f t="shared" si="1"/>
        <v>0.44827310035518048</v>
      </c>
    </row>
    <row r="9" spans="1:4" x14ac:dyDescent="0.2">
      <c r="A9">
        <v>7</v>
      </c>
      <c r="B9" s="1">
        <f t="shared" si="0"/>
        <v>0.38655567224853643</v>
      </c>
      <c r="C9">
        <v>14</v>
      </c>
      <c r="D9" s="1">
        <f t="shared" si="1"/>
        <v>0.4149429775266405</v>
      </c>
    </row>
    <row r="10" spans="1:4" x14ac:dyDescent="0.2">
      <c r="A10">
        <v>8</v>
      </c>
      <c r="B10" s="1">
        <f t="shared" si="0"/>
        <v>0.35674426855593772</v>
      </c>
      <c r="C10">
        <v>16</v>
      </c>
      <c r="D10" s="1">
        <f t="shared" si="1"/>
        <v>0.38701901710986641</v>
      </c>
    </row>
    <row r="11" spans="1:4" x14ac:dyDescent="0.2">
      <c r="A11">
        <v>9</v>
      </c>
      <c r="B11" s="1">
        <f t="shared" si="0"/>
        <v>0.33223885735147263</v>
      </c>
      <c r="C11">
        <v>18</v>
      </c>
      <c r="D11" s="1">
        <f t="shared" si="1"/>
        <v>0.36299115849325703</v>
      </c>
    </row>
    <row r="12" spans="1:4" x14ac:dyDescent="0.2">
      <c r="A12">
        <v>10</v>
      </c>
      <c r="B12" s="1">
        <f t="shared" si="0"/>
        <v>0.3117474769082037</v>
      </c>
      <c r="C12">
        <v>20</v>
      </c>
      <c r="D12" s="1">
        <f t="shared" si="1"/>
        <v>0.34183390034187877</v>
      </c>
    </row>
    <row r="13" spans="1:4" x14ac:dyDescent="0.2">
      <c r="A13">
        <v>11</v>
      </c>
      <c r="B13" s="1">
        <f t="shared" si="0"/>
        <v>0.29431015492257911</v>
      </c>
      <c r="C13">
        <v>22</v>
      </c>
      <c r="D13" s="1">
        <f t="shared" si="1"/>
        <v>0.32284719866564848</v>
      </c>
    </row>
    <row r="14" spans="1:4" x14ac:dyDescent="0.2">
      <c r="A14">
        <v>12</v>
      </c>
      <c r="B14" s="1">
        <f t="shared" si="0"/>
        <v>0.27921296139439827</v>
      </c>
      <c r="C14">
        <v>24</v>
      </c>
      <c r="D14" s="1">
        <f t="shared" si="1"/>
        <v>0.30554978602377353</v>
      </c>
    </row>
    <row r="15" spans="1:4" x14ac:dyDescent="0.2">
      <c r="A15">
        <v>13</v>
      </c>
      <c r="B15" s="1">
        <f t="shared" si="0"/>
        <v>0.2659243340467739</v>
      </c>
      <c r="C15">
        <v>26</v>
      </c>
      <c r="D15" s="1">
        <f t="shared" si="1"/>
        <v>0.28960763120790117</v>
      </c>
    </row>
    <row r="16" spans="1:4" x14ac:dyDescent="0.2">
      <c r="A16">
        <v>14</v>
      </c>
      <c r="B16" s="1">
        <f t="shared" si="0"/>
        <v>0.25404790376605302</v>
      </c>
      <c r="C16">
        <v>28</v>
      </c>
      <c r="D16" s="1">
        <f t="shared" si="1"/>
        <v>0.27478595575769255</v>
      </c>
    </row>
    <row r="17" spans="1:4" x14ac:dyDescent="0.2">
      <c r="A17">
        <v>15</v>
      </c>
      <c r="B17" s="1">
        <f t="shared" si="0"/>
        <v>0.24328754366967142</v>
      </c>
      <c r="C17">
        <v>30</v>
      </c>
      <c r="D17" s="1">
        <f t="shared" si="1"/>
        <v>0.26091704248705794</v>
      </c>
    </row>
    <row r="18" spans="1:4" x14ac:dyDescent="0.2">
      <c r="A18">
        <v>16</v>
      </c>
      <c r="B18" s="1">
        <f t="shared" si="0"/>
        <v>0.23342147376893796</v>
      </c>
    </row>
    <row r="19" spans="1:4" x14ac:dyDescent="0.2">
      <c r="A19">
        <v>17</v>
      </c>
      <c r="B19" s="1">
        <f t="shared" si="0"/>
        <v>0.22428307428644126</v>
      </c>
    </row>
    <row r="20" spans="1:4" x14ac:dyDescent="0.2">
      <c r="A20">
        <v>18</v>
      </c>
      <c r="B20" s="1">
        <f t="shared" si="0"/>
        <v>0.2157466689683265</v>
      </c>
    </row>
    <row r="21" spans="1:4" x14ac:dyDescent="0.2">
      <c r="A21">
        <v>19</v>
      </c>
      <c r="B21" s="1">
        <f t="shared" si="0"/>
        <v>0.20771699035713553</v>
      </c>
    </row>
    <row r="22" spans="1:4" x14ac:dyDescent="0.2">
      <c r="A22">
        <v>20</v>
      </c>
      <c r="B22" s="1">
        <f t="shared" si="0"/>
        <v>0.20012137282256359</v>
      </c>
    </row>
    <row r="23" spans="1:4" x14ac:dyDescent="0.2">
      <c r="A23">
        <v>21</v>
      </c>
      <c r="B23" s="1">
        <f t="shared" si="0"/>
        <v>0.19290396645617497</v>
      </c>
    </row>
    <row r="24" spans="1:4" x14ac:dyDescent="0.2">
      <c r="A24">
        <v>22</v>
      </c>
      <c r="B24" s="1">
        <f t="shared" si="0"/>
        <v>0.18602144814701999</v>
      </c>
    </row>
    <row r="25" spans="1:4" x14ac:dyDescent="0.2">
      <c r="A25">
        <v>23</v>
      </c>
      <c r="B25" s="1">
        <f t="shared" si="0"/>
        <v>0.17943984188117168</v>
      </c>
    </row>
    <row r="26" spans="1:4" x14ac:dyDescent="0.2">
      <c r="A26">
        <v>24</v>
      </c>
      <c r="B26" s="1">
        <f t="shared" si="0"/>
        <v>0.17313216085665789</v>
      </c>
    </row>
    <row r="27" spans="1:4" x14ac:dyDescent="0.2">
      <c r="A27">
        <v>25</v>
      </c>
      <c r="B27" s="1">
        <f t="shared" si="0"/>
        <v>0.16707665849349204</v>
      </c>
    </row>
    <row r="28" spans="1:4" x14ac:dyDescent="0.2">
      <c r="A28">
        <v>26</v>
      </c>
      <c r="B28" s="1">
        <f t="shared" si="0"/>
        <v>0.16125553060084225</v>
      </c>
    </row>
    <row r="29" spans="1:4" x14ac:dyDescent="0.2">
      <c r="A29">
        <v>27</v>
      </c>
      <c r="B29" s="1">
        <f t="shared" si="0"/>
        <v>0.15565395184354852</v>
      </c>
    </row>
    <row r="30" spans="1:4" x14ac:dyDescent="0.2">
      <c r="A30">
        <v>28</v>
      </c>
      <c r="B30" s="1">
        <f t="shared" si="0"/>
        <v>0.15025935993506712</v>
      </c>
    </row>
    <row r="31" spans="1:4" x14ac:dyDescent="0.2">
      <c r="A31">
        <v>29</v>
      </c>
      <c r="B31" s="1">
        <f t="shared" si="0"/>
        <v>0.14506092341958871</v>
      </c>
    </row>
    <row r="32" spans="1:4" x14ac:dyDescent="0.2">
      <c r="A32">
        <v>30</v>
      </c>
      <c r="B32" s="1">
        <f t="shared" si="0"/>
        <v>0.14004914552691414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2"/>
  <sheetViews>
    <sheetView workbookViewId="0"/>
  </sheetViews>
  <sheetFormatPr baseColWidth="10" defaultColWidth="8.83203125" defaultRowHeight="16" x14ac:dyDescent="0.2"/>
  <cols>
    <col min="1" max="1" width="11" customWidth="1"/>
    <col min="2" max="2" width="12" customWidth="1"/>
    <col min="3" max="3" width="11" customWidth="1"/>
    <col min="4" max="4" width="12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 s="3">
        <v>0</v>
      </c>
      <c r="B2" s="1">
        <f t="shared" ref="B2:B32" si="0">1-0.9/(1+EXP(-(A2-13)/2))</f>
        <v>0.99864893596893667</v>
      </c>
      <c r="C2" s="3">
        <v>0</v>
      </c>
      <c r="D2" s="1">
        <f t="shared" ref="D2:D17" si="1">1-0.85/(1+EXP(-(C2-24)/4))</f>
        <v>0.9978982703168604</v>
      </c>
    </row>
    <row r="3" spans="1:4" x14ac:dyDescent="0.2">
      <c r="A3" s="3">
        <v>1</v>
      </c>
      <c r="B3" s="1">
        <f t="shared" si="0"/>
        <v>0.99777463915902875</v>
      </c>
      <c r="C3" s="3">
        <v>2</v>
      </c>
      <c r="D3" s="1">
        <f t="shared" si="1"/>
        <v>0.99654038294148828</v>
      </c>
    </row>
    <row r="4" spans="1:4" x14ac:dyDescent="0.2">
      <c r="A4" s="3">
        <v>2</v>
      </c>
      <c r="B4" s="1">
        <f t="shared" si="0"/>
        <v>0.99633687605569343</v>
      </c>
      <c r="C4" s="3">
        <v>4</v>
      </c>
      <c r="D4" s="1">
        <f t="shared" si="1"/>
        <v>0.99431107671435792</v>
      </c>
    </row>
    <row r="5" spans="1:4" x14ac:dyDescent="0.2">
      <c r="A5" s="3">
        <v>3</v>
      </c>
      <c r="B5" s="1">
        <f t="shared" si="0"/>
        <v>0.99397643416814363</v>
      </c>
      <c r="C5" s="3">
        <v>6</v>
      </c>
      <c r="D5" s="1">
        <f t="shared" si="1"/>
        <v>0.99066109876399577</v>
      </c>
    </row>
    <row r="6" spans="1:4" x14ac:dyDescent="0.2">
      <c r="A6" s="3">
        <v>4</v>
      </c>
      <c r="B6" s="1">
        <f t="shared" si="0"/>
        <v>0.99011175163246612</v>
      </c>
      <c r="C6" s="3">
        <v>8</v>
      </c>
      <c r="D6" s="1">
        <f t="shared" si="1"/>
        <v>0.9847117215322222</v>
      </c>
    </row>
    <row r="7" spans="1:4" x14ac:dyDescent="0.2">
      <c r="A7" s="3">
        <v>5</v>
      </c>
      <c r="B7" s="1">
        <f t="shared" si="0"/>
        <v>0.98381241103411754</v>
      </c>
      <c r="C7" s="3">
        <v>10</v>
      </c>
      <c r="D7" s="1">
        <f t="shared" si="1"/>
        <v>0.9750846038613471</v>
      </c>
    </row>
    <row r="8" spans="1:4" x14ac:dyDescent="0.2">
      <c r="A8" s="3">
        <v>6</v>
      </c>
      <c r="B8" s="1">
        <f t="shared" si="0"/>
        <v>0.97361899232377935</v>
      </c>
      <c r="C8" s="3">
        <v>12</v>
      </c>
      <c r="D8" s="1">
        <f t="shared" si="1"/>
        <v>0.95968800779906827</v>
      </c>
    </row>
    <row r="9" spans="1:4" x14ac:dyDescent="0.2">
      <c r="A9" s="3">
        <v>7</v>
      </c>
      <c r="B9" s="1">
        <f t="shared" si="0"/>
        <v>0.95731671414018993</v>
      </c>
      <c r="C9" s="3">
        <v>14</v>
      </c>
      <c r="D9" s="1">
        <f t="shared" si="1"/>
        <v>0.93552054698194298</v>
      </c>
    </row>
    <row r="10" spans="1:4" x14ac:dyDescent="0.2">
      <c r="A10" s="3">
        <v>8</v>
      </c>
      <c r="B10" s="1">
        <f t="shared" si="0"/>
        <v>0.93172763798088076</v>
      </c>
      <c r="C10" s="3">
        <v>16</v>
      </c>
      <c r="D10" s="1">
        <f t="shared" si="1"/>
        <v>0.89867751628120007</v>
      </c>
    </row>
    <row r="11" spans="1:4" x14ac:dyDescent="0.2">
      <c r="A11" s="3">
        <v>9</v>
      </c>
      <c r="B11" s="1">
        <f t="shared" si="0"/>
        <v>0.89271737018009423</v>
      </c>
      <c r="C11" s="3">
        <v>18</v>
      </c>
      <c r="D11" s="1">
        <f t="shared" si="1"/>
        <v>0.84493830476459708</v>
      </c>
    </row>
    <row r="12" spans="1:4" x14ac:dyDescent="0.2">
      <c r="A12" s="3">
        <v>10</v>
      </c>
      <c r="B12" s="1">
        <f t="shared" si="0"/>
        <v>0.83581702857427931</v>
      </c>
      <c r="C12" s="3">
        <v>20</v>
      </c>
      <c r="D12" s="1">
        <f t="shared" si="1"/>
        <v>0.77139979183550411</v>
      </c>
    </row>
    <row r="13" spans="1:4" x14ac:dyDescent="0.2">
      <c r="A13" s="3">
        <v>11</v>
      </c>
      <c r="B13" s="1">
        <f t="shared" si="0"/>
        <v>0.75795272076700437</v>
      </c>
      <c r="C13" s="3">
        <v>22</v>
      </c>
      <c r="D13" s="1">
        <f t="shared" si="1"/>
        <v>0.67909043152157644</v>
      </c>
    </row>
    <row r="14" spans="1:4" x14ac:dyDescent="0.2">
      <c r="A14" s="3">
        <v>12</v>
      </c>
      <c r="B14" s="1">
        <f t="shared" si="0"/>
        <v>0.66021339808166912</v>
      </c>
      <c r="C14" s="3">
        <v>24</v>
      </c>
      <c r="D14" s="1">
        <f t="shared" si="1"/>
        <v>0.57499999999999996</v>
      </c>
    </row>
    <row r="15" spans="1:4" x14ac:dyDescent="0.2">
      <c r="A15" s="3">
        <v>13</v>
      </c>
      <c r="B15" s="1">
        <f t="shared" si="0"/>
        <v>0.55000000000000004</v>
      </c>
      <c r="C15" s="3">
        <v>26</v>
      </c>
      <c r="D15" s="1">
        <f t="shared" si="1"/>
        <v>0.47090956847842358</v>
      </c>
    </row>
    <row r="16" spans="1:4" x14ac:dyDescent="0.2">
      <c r="A16" s="3">
        <v>14</v>
      </c>
      <c r="B16" s="1">
        <f t="shared" si="0"/>
        <v>0.43978660191833086</v>
      </c>
      <c r="C16" s="3">
        <v>28</v>
      </c>
      <c r="D16" s="1">
        <f t="shared" si="1"/>
        <v>0.37860020816449591</v>
      </c>
    </row>
    <row r="17" spans="1:4" x14ac:dyDescent="0.2">
      <c r="A17" s="3">
        <v>15</v>
      </c>
      <c r="B17" s="1">
        <f t="shared" si="0"/>
        <v>0.3420472792329956</v>
      </c>
      <c r="C17" s="3">
        <v>30</v>
      </c>
      <c r="D17" s="1">
        <f t="shared" si="1"/>
        <v>0.30506169523540294</v>
      </c>
    </row>
    <row r="18" spans="1:4" x14ac:dyDescent="0.2">
      <c r="A18" s="3">
        <v>16</v>
      </c>
      <c r="B18" s="1">
        <f t="shared" si="0"/>
        <v>0.26418297142572078</v>
      </c>
      <c r="C18" s="3"/>
      <c r="D18" s="1"/>
    </row>
    <row r="19" spans="1:4" x14ac:dyDescent="0.2">
      <c r="A19" s="3">
        <v>17</v>
      </c>
      <c r="B19" s="1">
        <f t="shared" si="0"/>
        <v>0.20728262981990586</v>
      </c>
      <c r="C19" s="3"/>
      <c r="D19" s="1"/>
    </row>
    <row r="20" spans="1:4" x14ac:dyDescent="0.2">
      <c r="A20" s="3">
        <v>18</v>
      </c>
      <c r="B20" s="1">
        <f t="shared" si="0"/>
        <v>0.1682723620191191</v>
      </c>
      <c r="C20" s="3"/>
      <c r="D20" s="1"/>
    </row>
    <row r="21" spans="1:4" x14ac:dyDescent="0.2">
      <c r="A21" s="3">
        <v>19</v>
      </c>
      <c r="B21" s="1">
        <f t="shared" si="0"/>
        <v>0.14268328585981005</v>
      </c>
      <c r="C21" s="3"/>
      <c r="D21" s="1"/>
    </row>
    <row r="22" spans="1:4" x14ac:dyDescent="0.2">
      <c r="A22" s="3">
        <v>20</v>
      </c>
      <c r="B22" s="1">
        <f t="shared" si="0"/>
        <v>0.12638100767622074</v>
      </c>
      <c r="C22" s="3"/>
      <c r="D22" s="1"/>
    </row>
    <row r="23" spans="1:4" x14ac:dyDescent="0.2">
      <c r="A23" s="3">
        <v>21</v>
      </c>
      <c r="B23" s="1">
        <f t="shared" si="0"/>
        <v>0.11618758896588244</v>
      </c>
      <c r="C23" s="3"/>
      <c r="D23" s="1"/>
    </row>
    <row r="24" spans="1:4" x14ac:dyDescent="0.2">
      <c r="A24" s="3">
        <v>22</v>
      </c>
      <c r="B24" s="1">
        <f t="shared" si="0"/>
        <v>0.10988824836753386</v>
      </c>
      <c r="C24" s="3"/>
      <c r="D24" s="1"/>
    </row>
    <row r="25" spans="1:4" x14ac:dyDescent="0.2">
      <c r="A25" s="3">
        <v>23</v>
      </c>
      <c r="B25" s="1">
        <f t="shared" si="0"/>
        <v>0.10602356583185624</v>
      </c>
      <c r="C25" s="3"/>
      <c r="D25" s="1"/>
    </row>
    <row r="26" spans="1:4" x14ac:dyDescent="0.2">
      <c r="A26" s="3">
        <v>24</v>
      </c>
      <c r="B26" s="1">
        <f t="shared" si="0"/>
        <v>0.10366312394430643</v>
      </c>
      <c r="C26" s="3"/>
      <c r="D26" s="1"/>
    </row>
    <row r="27" spans="1:4" x14ac:dyDescent="0.2">
      <c r="A27" s="3">
        <v>25</v>
      </c>
      <c r="B27" s="1">
        <f t="shared" si="0"/>
        <v>0.10222536084097122</v>
      </c>
      <c r="C27" s="3"/>
      <c r="D27" s="1"/>
    </row>
    <row r="28" spans="1:4" x14ac:dyDescent="0.2">
      <c r="A28" s="3">
        <v>26</v>
      </c>
      <c r="B28" s="1">
        <f t="shared" si="0"/>
        <v>0.10135106403106331</v>
      </c>
      <c r="C28" s="3"/>
      <c r="D28" s="1"/>
    </row>
    <row r="29" spans="1:4" x14ac:dyDescent="0.2">
      <c r="A29" s="3">
        <v>27</v>
      </c>
      <c r="B29" s="1">
        <f t="shared" si="0"/>
        <v>0.10081994607496048</v>
      </c>
      <c r="C29" s="3"/>
      <c r="D29" s="1"/>
    </row>
    <row r="30" spans="1:4" x14ac:dyDescent="0.2">
      <c r="A30" s="3">
        <v>28</v>
      </c>
      <c r="B30" s="1">
        <f t="shared" si="0"/>
        <v>0.10049750077323116</v>
      </c>
      <c r="C30" s="3"/>
      <c r="D30" s="1"/>
    </row>
    <row r="31" spans="1:4" x14ac:dyDescent="0.2">
      <c r="A31" s="3">
        <v>29</v>
      </c>
      <c r="B31" s="1">
        <f t="shared" si="0"/>
        <v>0.10030181511741976</v>
      </c>
      <c r="C31" s="3"/>
      <c r="D31" s="1"/>
    </row>
    <row r="32" spans="1:4" x14ac:dyDescent="0.2">
      <c r="A32" s="3">
        <v>30</v>
      </c>
      <c r="B32" s="1">
        <f t="shared" si="0"/>
        <v>0.10018308428024969</v>
      </c>
      <c r="C32" s="3"/>
      <c r="D32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2"/>
  <sheetViews>
    <sheetView workbookViewId="0"/>
  </sheetViews>
  <sheetFormatPr baseColWidth="10" defaultColWidth="8.83203125" defaultRowHeight="16" x14ac:dyDescent="0.2"/>
  <cols>
    <col min="1" max="4" width="13" customWidth="1"/>
  </cols>
  <sheetData>
    <row r="1" spans="1:4" x14ac:dyDescent="0.2">
      <c r="A1" s="2" t="s">
        <v>0</v>
      </c>
      <c r="B1" s="2" t="s">
        <v>1</v>
      </c>
      <c r="C1" s="2" t="s">
        <v>2</v>
      </c>
      <c r="D1" s="2" t="s">
        <v>3</v>
      </c>
    </row>
    <row r="2" spans="1:4" x14ac:dyDescent="0.2">
      <c r="A2">
        <v>0</v>
      </c>
      <c r="B2" s="1">
        <f t="shared" ref="B2:B32" si="0">1-0.2*(1-EXP(-0.3*A2))-0.68/(1+EXP(-(A2-14)/1.5))</f>
        <v>0.99993987496438708</v>
      </c>
      <c r="C2">
        <v>0</v>
      </c>
      <c r="D2" s="1">
        <f t="shared" ref="D2:D17" si="1">1-0.15*(1-EXP(-0.18*C2))-0.72/(1+EXP(-(C2-18)/2))</f>
        <v>0.99991115590528989</v>
      </c>
    </row>
    <row r="3" spans="1:4" x14ac:dyDescent="0.2">
      <c r="A3">
        <v>1</v>
      </c>
      <c r="B3" s="1">
        <f t="shared" si="0"/>
        <v>0.94804654637030261</v>
      </c>
      <c r="C3">
        <v>2</v>
      </c>
      <c r="D3" s="1">
        <f t="shared" si="1"/>
        <v>0.95440999681671879</v>
      </c>
    </row>
    <row r="4" spans="1:4" x14ac:dyDescent="0.2">
      <c r="A4">
        <v>2</v>
      </c>
      <c r="B4" s="1">
        <f t="shared" si="0"/>
        <v>0.90953428913008805</v>
      </c>
      <c r="C4">
        <v>4</v>
      </c>
      <c r="D4" s="1">
        <f t="shared" si="1"/>
        <v>0.92235688153402728</v>
      </c>
    </row>
    <row r="5" spans="1:4" x14ac:dyDescent="0.2">
      <c r="A5">
        <v>3</v>
      </c>
      <c r="B5" s="1">
        <f t="shared" si="0"/>
        <v>0.88086991551858396</v>
      </c>
      <c r="C5">
        <v>6</v>
      </c>
      <c r="D5" s="1">
        <f t="shared" si="1"/>
        <v>0.89915904017396386</v>
      </c>
    </row>
    <row r="6" spans="1:4" x14ac:dyDescent="0.2">
      <c r="A6">
        <v>4</v>
      </c>
      <c r="B6" s="1">
        <f t="shared" si="0"/>
        <v>0.85937455132354512</v>
      </c>
      <c r="C6">
        <v>8</v>
      </c>
      <c r="D6" s="1">
        <f t="shared" si="1"/>
        <v>0.88072031113683313</v>
      </c>
    </row>
    <row r="7" spans="1:4" x14ac:dyDescent="0.2">
      <c r="A7">
        <v>5</v>
      </c>
      <c r="B7" s="1">
        <f t="shared" si="0"/>
        <v>0.84294464828317428</v>
      </c>
      <c r="C7">
        <v>10</v>
      </c>
      <c r="D7" s="1">
        <f t="shared" si="1"/>
        <v>0.86184476206053207</v>
      </c>
    </row>
    <row r="8" spans="1:4" x14ac:dyDescent="0.2">
      <c r="A8">
        <v>6</v>
      </c>
      <c r="B8" s="1">
        <f t="shared" si="0"/>
        <v>0.82979254568104877</v>
      </c>
      <c r="C8">
        <v>12</v>
      </c>
      <c r="D8" s="1">
        <f t="shared" si="1"/>
        <v>0.83315213946786126</v>
      </c>
    </row>
    <row r="9" spans="1:4" x14ac:dyDescent="0.2">
      <c r="A9">
        <v>7</v>
      </c>
      <c r="B9" s="1">
        <f t="shared" si="0"/>
        <v>0.818156433295951</v>
      </c>
      <c r="C9">
        <v>14</v>
      </c>
      <c r="D9" s="1">
        <f t="shared" si="1"/>
        <v>0.77624283715650522</v>
      </c>
    </row>
    <row r="10" spans="1:4" x14ac:dyDescent="0.2">
      <c r="A10">
        <v>8</v>
      </c>
      <c r="B10" s="1">
        <f t="shared" si="0"/>
        <v>0.80591296788366018</v>
      </c>
      <c r="C10">
        <v>16</v>
      </c>
      <c r="D10" s="1">
        <f t="shared" si="1"/>
        <v>0.66478239103872361</v>
      </c>
    </row>
    <row r="11" spans="1:4" x14ac:dyDescent="0.2">
      <c r="A11">
        <v>9</v>
      </c>
      <c r="B11" s="1">
        <f t="shared" si="0"/>
        <v>0.79001836949492643</v>
      </c>
      <c r="C11">
        <v>18</v>
      </c>
      <c r="D11" s="1">
        <f t="shared" si="1"/>
        <v>0.4958745842648481</v>
      </c>
    </row>
    <row r="12" spans="1:4" x14ac:dyDescent="0.2">
      <c r="A12">
        <v>10</v>
      </c>
      <c r="B12" s="1">
        <f t="shared" si="0"/>
        <v>0.76577837866608123</v>
      </c>
      <c r="C12">
        <v>20</v>
      </c>
      <c r="D12" s="1">
        <f t="shared" si="1"/>
        <v>0.3277363817534904</v>
      </c>
    </row>
    <row r="13" spans="1:4" x14ac:dyDescent="0.2">
      <c r="A13">
        <v>11</v>
      </c>
      <c r="B13" s="1">
        <f t="shared" si="0"/>
        <v>0.72631864650520805</v>
      </c>
      <c r="C13">
        <v>22</v>
      </c>
      <c r="D13" s="1">
        <f t="shared" si="1"/>
        <v>0.21868557099966646</v>
      </c>
    </row>
    <row r="14" spans="1:4" x14ac:dyDescent="0.2">
      <c r="A14">
        <v>12</v>
      </c>
      <c r="B14" s="1">
        <f t="shared" si="0"/>
        <v>0.66361094590774794</v>
      </c>
      <c r="C14">
        <v>24</v>
      </c>
      <c r="D14" s="1">
        <f t="shared" si="1"/>
        <v>0.16614161121921467</v>
      </c>
    </row>
    <row r="15" spans="1:4" x14ac:dyDescent="0.2">
      <c r="A15">
        <v>13</v>
      </c>
      <c r="B15" s="1">
        <f t="shared" si="0"/>
        <v>0.57336271304991648</v>
      </c>
      <c r="C15">
        <v>26</v>
      </c>
      <c r="D15" s="1">
        <f t="shared" si="1"/>
        <v>0.14434192325576567</v>
      </c>
    </row>
    <row r="16" spans="1:4" x14ac:dyDescent="0.2">
      <c r="A16">
        <v>14</v>
      </c>
      <c r="B16" s="1">
        <f t="shared" si="0"/>
        <v>0.46299911536409549</v>
      </c>
      <c r="C16">
        <v>28</v>
      </c>
      <c r="D16" s="1">
        <f t="shared" si="1"/>
        <v>0.13578991491322845</v>
      </c>
    </row>
    <row r="17" spans="1:4" x14ac:dyDescent="0.2">
      <c r="A17">
        <v>15</v>
      </c>
      <c r="B17" s="1">
        <f t="shared" si="0"/>
        <v>0.35290746854689276</v>
      </c>
      <c r="C17">
        <v>30</v>
      </c>
      <c r="D17" s="1">
        <f t="shared" si="1"/>
        <v>0.13245777581416895</v>
      </c>
    </row>
    <row r="18" spans="1:4" x14ac:dyDescent="0.2">
      <c r="A18">
        <v>16</v>
      </c>
      <c r="B18" s="1">
        <f t="shared" si="0"/>
        <v>0.26349974799151454</v>
      </c>
    </row>
    <row r="19" spans="1:4" x14ac:dyDescent="0.2">
      <c r="A19">
        <v>17</v>
      </c>
      <c r="B19" s="1">
        <f t="shared" si="0"/>
        <v>0.20227733628814304</v>
      </c>
    </row>
    <row r="20" spans="1:4" x14ac:dyDescent="0.2">
      <c r="A20">
        <v>18</v>
      </c>
      <c r="B20" s="1">
        <f t="shared" si="0"/>
        <v>0.165082351196014</v>
      </c>
    </row>
    <row r="21" spans="1:4" x14ac:dyDescent="0.2">
      <c r="A21">
        <v>19</v>
      </c>
      <c r="B21" s="1">
        <f t="shared" si="0"/>
        <v>0.14409192614451771</v>
      </c>
    </row>
    <row r="22" spans="1:4" x14ac:dyDescent="0.2">
      <c r="A22">
        <v>20</v>
      </c>
      <c r="B22" s="1">
        <f t="shared" si="0"/>
        <v>0.13272637320955549</v>
      </c>
    </row>
    <row r="23" spans="1:4" x14ac:dyDescent="0.2">
      <c r="A23">
        <v>21</v>
      </c>
      <c r="B23" s="1">
        <f t="shared" si="0"/>
        <v>0.1267021133100511</v>
      </c>
    </row>
    <row r="24" spans="1:4" x14ac:dyDescent="0.2">
      <c r="A24">
        <v>22</v>
      </c>
      <c r="B24" s="1">
        <f t="shared" si="0"/>
        <v>0.12353930557077797</v>
      </c>
    </row>
    <row r="25" spans="1:4" x14ac:dyDescent="0.2">
      <c r="A25">
        <v>23</v>
      </c>
      <c r="B25" s="1">
        <f t="shared" si="0"/>
        <v>0.12188294083232121</v>
      </c>
    </row>
    <row r="26" spans="1:4" x14ac:dyDescent="0.2">
      <c r="A26">
        <v>24</v>
      </c>
      <c r="B26" s="1">
        <f t="shared" si="0"/>
        <v>0.12101360822057061</v>
      </c>
    </row>
    <row r="27" spans="1:4" x14ac:dyDescent="0.2">
      <c r="A27">
        <v>25</v>
      </c>
      <c r="B27" s="1">
        <f t="shared" si="0"/>
        <v>0.12055463330356531</v>
      </c>
    </row>
    <row r="28" spans="1:4" x14ac:dyDescent="0.2">
      <c r="A28">
        <v>26</v>
      </c>
      <c r="B28" s="1">
        <f t="shared" si="0"/>
        <v>0.12030998508451307</v>
      </c>
    </row>
    <row r="29" spans="1:4" x14ac:dyDescent="0.2">
      <c r="A29">
        <v>27</v>
      </c>
      <c r="B29" s="1">
        <f t="shared" si="0"/>
        <v>0.12017780559365654</v>
      </c>
    </row>
    <row r="30" spans="1:4" x14ac:dyDescent="0.2">
      <c r="A30">
        <v>28</v>
      </c>
      <c r="B30" s="1">
        <f t="shared" si="0"/>
        <v>0.12010509850044848</v>
      </c>
    </row>
    <row r="31" spans="1:4" x14ac:dyDescent="0.2">
      <c r="A31">
        <v>29</v>
      </c>
      <c r="B31" s="1">
        <f t="shared" si="0"/>
        <v>0.12006418771291516</v>
      </c>
    </row>
    <row r="32" spans="1:4" x14ac:dyDescent="0.2">
      <c r="A32">
        <v>30</v>
      </c>
      <c r="B32" s="1">
        <f t="shared" si="0"/>
        <v>0.12004053178014951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32"/>
  <sheetViews>
    <sheetView workbookViewId="0"/>
  </sheetViews>
  <sheetFormatPr baseColWidth="10" defaultColWidth="8.83203125" defaultRowHeight="16" x14ac:dyDescent="0.2"/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>
        <v>0</v>
      </c>
      <c r="B2" s="1">
        <v>1</v>
      </c>
      <c r="C2">
        <v>0</v>
      </c>
      <c r="D2" s="1">
        <v>1</v>
      </c>
    </row>
    <row r="3" spans="1:4" x14ac:dyDescent="0.2">
      <c r="A3">
        <v>1</v>
      </c>
      <c r="B3" s="1">
        <v>0.97284357193587778</v>
      </c>
      <c r="C3">
        <v>2</v>
      </c>
      <c r="D3" s="1">
        <v>0.79553931517036613</v>
      </c>
    </row>
    <row r="4" spans="1:4" x14ac:dyDescent="0.2">
      <c r="A4">
        <v>2</v>
      </c>
      <c r="B4" s="1">
        <v>0.84093984017990187</v>
      </c>
      <c r="C4">
        <v>4</v>
      </c>
      <c r="D4" s="1">
        <v>0.78170122076165849</v>
      </c>
    </row>
    <row r="5" spans="1:4" x14ac:dyDescent="0.2">
      <c r="A5">
        <v>3</v>
      </c>
      <c r="B5" s="1">
        <v>0.79361369305113061</v>
      </c>
      <c r="C5">
        <v>6</v>
      </c>
      <c r="D5" s="1">
        <v>0.64926672656350759</v>
      </c>
    </row>
    <row r="6" spans="1:4" x14ac:dyDescent="0.2">
      <c r="A6">
        <v>4</v>
      </c>
      <c r="B6" s="1">
        <v>0.67944724860655292</v>
      </c>
      <c r="C6">
        <v>8</v>
      </c>
      <c r="D6" s="1">
        <v>0.61658314675522496</v>
      </c>
    </row>
    <row r="7" spans="1:4" x14ac:dyDescent="0.2">
      <c r="A7">
        <v>5</v>
      </c>
      <c r="B7" s="1">
        <v>0.65746545640727372</v>
      </c>
      <c r="C7">
        <v>10</v>
      </c>
      <c r="D7" s="1">
        <v>0.46711340298056053</v>
      </c>
    </row>
    <row r="8" spans="1:4" x14ac:dyDescent="0.2">
      <c r="A8">
        <v>6</v>
      </c>
      <c r="B8" s="1">
        <v>0.60839089593449269</v>
      </c>
      <c r="C8">
        <v>12</v>
      </c>
      <c r="D8" s="1">
        <v>0.42042254499150433</v>
      </c>
    </row>
    <row r="9" spans="1:4" x14ac:dyDescent="0.2">
      <c r="A9">
        <v>7</v>
      </c>
      <c r="B9" s="1">
        <v>0.5314074065824953</v>
      </c>
      <c r="C9">
        <v>14</v>
      </c>
      <c r="D9" s="1">
        <v>0.35630182561951024</v>
      </c>
    </row>
    <row r="10" spans="1:4" x14ac:dyDescent="0.2">
      <c r="A10">
        <v>8</v>
      </c>
      <c r="B10" s="1">
        <v>0.47825914385785206</v>
      </c>
      <c r="C10">
        <v>16</v>
      </c>
      <c r="D10" s="1">
        <v>0.2980426820015743</v>
      </c>
    </row>
    <row r="11" spans="1:4" x14ac:dyDescent="0.2">
      <c r="A11">
        <v>9</v>
      </c>
      <c r="B11" s="1">
        <v>0.42341643549911345</v>
      </c>
      <c r="C11">
        <v>18</v>
      </c>
      <c r="D11" s="1">
        <v>0.29839029168829956</v>
      </c>
    </row>
    <row r="12" spans="1:4" x14ac:dyDescent="0.2">
      <c r="A12">
        <v>10</v>
      </c>
      <c r="B12" s="1">
        <v>0.41720945993280706</v>
      </c>
      <c r="C12">
        <v>20</v>
      </c>
      <c r="D12" s="1">
        <v>0.26009338120370712</v>
      </c>
    </row>
    <row r="13" spans="1:4" x14ac:dyDescent="0.2">
      <c r="A13">
        <v>11</v>
      </c>
      <c r="B13" s="1">
        <v>0.34731570221128238</v>
      </c>
      <c r="C13">
        <v>22</v>
      </c>
      <c r="D13" s="1">
        <v>0.23558739632321282</v>
      </c>
    </row>
    <row r="14" spans="1:4" x14ac:dyDescent="0.2">
      <c r="A14">
        <v>12</v>
      </c>
      <c r="B14" s="1">
        <v>0.30565981869221936</v>
      </c>
      <c r="C14">
        <v>24</v>
      </c>
      <c r="D14" s="1">
        <v>0.22640664567983088</v>
      </c>
    </row>
    <row r="15" spans="1:4" x14ac:dyDescent="0.2">
      <c r="A15">
        <v>13</v>
      </c>
      <c r="B15" s="1">
        <v>0.36422107432255002</v>
      </c>
      <c r="C15">
        <v>26</v>
      </c>
      <c r="D15" s="1">
        <v>0.13559332058429163</v>
      </c>
    </row>
    <row r="16" spans="1:4" x14ac:dyDescent="0.2">
      <c r="A16">
        <v>14</v>
      </c>
      <c r="B16" s="1">
        <v>0.25906166693312072</v>
      </c>
      <c r="C16">
        <v>28</v>
      </c>
      <c r="D16" s="1">
        <v>0.127189691411148</v>
      </c>
    </row>
    <row r="17" spans="1:4" x14ac:dyDescent="0.2">
      <c r="A17">
        <v>15</v>
      </c>
      <c r="B17" s="1">
        <v>0.24178138696179599</v>
      </c>
      <c r="C17">
        <v>30</v>
      </c>
      <c r="D17" s="1">
        <v>0.14538557718491904</v>
      </c>
    </row>
    <row r="18" spans="1:4" x14ac:dyDescent="0.2">
      <c r="A18">
        <v>16</v>
      </c>
      <c r="B18" s="1">
        <v>0.24365049267349034</v>
      </c>
    </row>
    <row r="19" spans="1:4" x14ac:dyDescent="0.2">
      <c r="A19">
        <v>17</v>
      </c>
      <c r="B19" s="1">
        <v>0.23239295161631524</v>
      </c>
    </row>
    <row r="20" spans="1:4" x14ac:dyDescent="0.2">
      <c r="A20">
        <v>18</v>
      </c>
      <c r="B20" s="1">
        <v>0.20398281798607362</v>
      </c>
    </row>
    <row r="21" spans="1:4" x14ac:dyDescent="0.2">
      <c r="A21">
        <v>19</v>
      </c>
      <c r="B21" s="1">
        <v>0.18657522219325748</v>
      </c>
    </row>
    <row r="22" spans="1:4" x14ac:dyDescent="0.2">
      <c r="A22">
        <v>20</v>
      </c>
      <c r="B22" s="1">
        <v>0.15632675322474407</v>
      </c>
    </row>
    <row r="23" spans="1:4" x14ac:dyDescent="0.2">
      <c r="A23">
        <v>21</v>
      </c>
      <c r="B23" s="1">
        <v>0.13183588266816615</v>
      </c>
    </row>
    <row r="24" spans="1:4" x14ac:dyDescent="0.2">
      <c r="A24">
        <v>22</v>
      </c>
      <c r="B24" s="1">
        <v>0.15866738705233877</v>
      </c>
    </row>
    <row r="25" spans="1:4" x14ac:dyDescent="0.2">
      <c r="A25">
        <v>23</v>
      </c>
      <c r="B25" s="1">
        <v>0.12660279969448365</v>
      </c>
    </row>
    <row r="26" spans="1:4" x14ac:dyDescent="0.2">
      <c r="A26">
        <v>24</v>
      </c>
      <c r="B26" s="1">
        <v>0.10542729679625795</v>
      </c>
    </row>
    <row r="27" spans="1:4" x14ac:dyDescent="0.2">
      <c r="A27">
        <v>25</v>
      </c>
      <c r="B27" s="1">
        <v>7.6631849906401137E-2</v>
      </c>
    </row>
    <row r="28" spans="1:4" x14ac:dyDescent="0.2">
      <c r="A28">
        <v>26</v>
      </c>
      <c r="B28" s="1">
        <v>0.10299030757128909</v>
      </c>
    </row>
    <row r="29" spans="1:4" x14ac:dyDescent="0.2">
      <c r="A29">
        <v>27</v>
      </c>
      <c r="B29" s="1">
        <v>6.0328939542452012E-2</v>
      </c>
    </row>
    <row r="30" spans="1:4" x14ac:dyDescent="0.2">
      <c r="A30">
        <v>28</v>
      </c>
      <c r="B30" s="1">
        <v>8.1533278849462126E-2</v>
      </c>
    </row>
    <row r="31" spans="1:4" x14ac:dyDescent="0.2">
      <c r="A31">
        <v>29</v>
      </c>
      <c r="B31" s="1">
        <v>1.2113020291183253E-2</v>
      </c>
    </row>
    <row r="32" spans="1:4" x14ac:dyDescent="0.2">
      <c r="A32">
        <v>30</v>
      </c>
      <c r="B32" s="1">
        <v>8.6022929453647062E-2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2"/>
  <sheetViews>
    <sheetView workbookViewId="0"/>
  </sheetViews>
  <sheetFormatPr baseColWidth="10" defaultRowHeight="16" x14ac:dyDescent="0.2"/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>
        <v>0</v>
      </c>
      <c r="B2">
        <v>1</v>
      </c>
      <c r="C2">
        <v>0</v>
      </c>
      <c r="D2">
        <v>1</v>
      </c>
    </row>
    <row r="3" spans="1:4" x14ac:dyDescent="0.2">
      <c r="A3">
        <v>1</v>
      </c>
      <c r="B3">
        <v>0.90794182823391523</v>
      </c>
      <c r="C3">
        <v>2</v>
      </c>
      <c r="D3">
        <v>0.90916611307324613</v>
      </c>
    </row>
    <row r="4" spans="1:4" x14ac:dyDescent="0.2">
      <c r="A4">
        <v>2</v>
      </c>
      <c r="B4">
        <v>0.9303926169796779</v>
      </c>
      <c r="C4">
        <v>4</v>
      </c>
      <c r="D4">
        <v>0.86110847602992424</v>
      </c>
    </row>
    <row r="5" spans="1:4" x14ac:dyDescent="0.2">
      <c r="A5">
        <v>3</v>
      </c>
      <c r="B5">
        <v>0.90458646429633349</v>
      </c>
      <c r="C5">
        <v>6</v>
      </c>
      <c r="D5">
        <v>0.71690226945336</v>
      </c>
    </row>
    <row r="6" spans="1:4" x14ac:dyDescent="0.2">
      <c r="A6">
        <v>4</v>
      </c>
      <c r="B6">
        <v>0.84914599976736727</v>
      </c>
      <c r="C6">
        <v>8</v>
      </c>
      <c r="D6">
        <v>0.60741956289562526</v>
      </c>
    </row>
    <row r="7" spans="1:4" x14ac:dyDescent="0.2">
      <c r="A7">
        <v>5</v>
      </c>
      <c r="B7">
        <v>0.80686543723617921</v>
      </c>
      <c r="C7">
        <v>10</v>
      </c>
      <c r="D7">
        <v>0.50513721665221289</v>
      </c>
    </row>
    <row r="8" spans="1:4" x14ac:dyDescent="0.2">
      <c r="A8">
        <v>6</v>
      </c>
      <c r="B8">
        <v>0.70033170322047955</v>
      </c>
      <c r="C8">
        <v>12</v>
      </c>
      <c r="D8">
        <v>0.43495995465187792</v>
      </c>
    </row>
    <row r="9" spans="1:4" x14ac:dyDescent="0.2">
      <c r="A9">
        <v>7</v>
      </c>
      <c r="B9">
        <v>0.61308983248281401</v>
      </c>
      <c r="C9">
        <v>14</v>
      </c>
      <c r="D9">
        <v>0.32838898943259243</v>
      </c>
    </row>
    <row r="10" spans="1:4" x14ac:dyDescent="0.2">
      <c r="A10">
        <v>8</v>
      </c>
      <c r="B10">
        <v>0.50878072836002508</v>
      </c>
      <c r="C10">
        <v>16</v>
      </c>
      <c r="D10">
        <v>0.31043847773131578</v>
      </c>
    </row>
    <row r="11" spans="1:4" x14ac:dyDescent="0.2">
      <c r="A11">
        <v>9</v>
      </c>
      <c r="B11">
        <v>0.46914199861615591</v>
      </c>
      <c r="C11">
        <v>18</v>
      </c>
      <c r="D11">
        <v>0.25396627084167012</v>
      </c>
    </row>
    <row r="12" spans="1:4" x14ac:dyDescent="0.2">
      <c r="A12">
        <v>10</v>
      </c>
      <c r="B12">
        <v>0.31007252914657379</v>
      </c>
      <c r="C12">
        <v>20</v>
      </c>
      <c r="D12">
        <v>0.17468306146404089</v>
      </c>
    </row>
    <row r="13" spans="1:4" x14ac:dyDescent="0.2">
      <c r="A13">
        <v>11</v>
      </c>
      <c r="B13">
        <v>0.30676595146124291</v>
      </c>
      <c r="C13">
        <v>22</v>
      </c>
      <c r="D13">
        <v>0.14501256722123951</v>
      </c>
    </row>
    <row r="14" spans="1:4" x14ac:dyDescent="0.2">
      <c r="A14">
        <v>12</v>
      </c>
      <c r="B14">
        <v>0.2645273657660494</v>
      </c>
      <c r="C14">
        <v>24</v>
      </c>
      <c r="D14">
        <v>8.1894031562552483E-2</v>
      </c>
    </row>
    <row r="15" spans="1:4" x14ac:dyDescent="0.2">
      <c r="A15">
        <v>13</v>
      </c>
      <c r="B15">
        <v>0.15621647904113339</v>
      </c>
      <c r="C15">
        <v>26</v>
      </c>
      <c r="D15">
        <v>6.6826291772344906E-2</v>
      </c>
    </row>
    <row r="16" spans="1:4" x14ac:dyDescent="0.2">
      <c r="A16">
        <v>14</v>
      </c>
      <c r="B16">
        <v>0.15990764010477229</v>
      </c>
      <c r="C16">
        <v>28</v>
      </c>
      <c r="D16">
        <v>7.2584589963362992E-2</v>
      </c>
    </row>
    <row r="17" spans="1:4" x14ac:dyDescent="0.2">
      <c r="A17">
        <v>15</v>
      </c>
      <c r="B17">
        <v>0.1187261348440698</v>
      </c>
      <c r="C17">
        <v>30</v>
      </c>
      <c r="D17">
        <v>5.9051202255119291E-2</v>
      </c>
    </row>
    <row r="18" spans="1:4" x14ac:dyDescent="0.2">
      <c r="A18">
        <v>16</v>
      </c>
      <c r="B18">
        <v>9.5401894443902652E-2</v>
      </c>
    </row>
    <row r="19" spans="1:4" x14ac:dyDescent="0.2">
      <c r="A19">
        <v>17</v>
      </c>
      <c r="B19">
        <v>6.4291204191874396E-2</v>
      </c>
    </row>
    <row r="20" spans="1:4" x14ac:dyDescent="0.2">
      <c r="A20">
        <v>18</v>
      </c>
      <c r="B20">
        <v>5.6061223880019537E-2</v>
      </c>
    </row>
    <row r="21" spans="1:4" x14ac:dyDescent="0.2">
      <c r="A21">
        <v>19</v>
      </c>
      <c r="B21">
        <v>1.4301484609982439E-2</v>
      </c>
    </row>
    <row r="22" spans="1:4" x14ac:dyDescent="0.2">
      <c r="A22">
        <v>20</v>
      </c>
      <c r="B22">
        <v>2.55603920382385E-2</v>
      </c>
    </row>
    <row r="23" spans="1:4" x14ac:dyDescent="0.2">
      <c r="A23">
        <v>21</v>
      </c>
      <c r="B23">
        <v>2.2857500242050521E-2</v>
      </c>
    </row>
    <row r="24" spans="1:4" x14ac:dyDescent="0.2">
      <c r="A24">
        <v>22</v>
      </c>
      <c r="B24">
        <v>3.7892843986940483E-2</v>
      </c>
    </row>
    <row r="25" spans="1:4" x14ac:dyDescent="0.2">
      <c r="A25">
        <v>23</v>
      </c>
      <c r="B25">
        <v>2.472623433754579E-2</v>
      </c>
    </row>
    <row r="26" spans="1:4" x14ac:dyDescent="0.2">
      <c r="A26">
        <v>24</v>
      </c>
      <c r="B26">
        <v>1.8370047150848692E-2</v>
      </c>
    </row>
    <row r="27" spans="1:4" x14ac:dyDescent="0.2">
      <c r="A27">
        <v>25</v>
      </c>
      <c r="B27">
        <v>0</v>
      </c>
    </row>
    <row r="28" spans="1:4" x14ac:dyDescent="0.2">
      <c r="A28">
        <v>26</v>
      </c>
      <c r="B28">
        <v>1.1728861503672319E-2</v>
      </c>
    </row>
    <row r="29" spans="1:4" x14ac:dyDescent="0.2">
      <c r="A29">
        <v>27</v>
      </c>
      <c r="B29">
        <v>0</v>
      </c>
    </row>
    <row r="30" spans="1:4" x14ac:dyDescent="0.2">
      <c r="A30">
        <v>28</v>
      </c>
      <c r="B30">
        <v>0</v>
      </c>
    </row>
    <row r="31" spans="1:4" x14ac:dyDescent="0.2">
      <c r="A31">
        <v>29</v>
      </c>
      <c r="B31">
        <v>1.5138979887977621E-2</v>
      </c>
    </row>
    <row r="32" spans="1:4" x14ac:dyDescent="0.2">
      <c r="A32">
        <v>30</v>
      </c>
      <c r="B32">
        <v>2.0061710738640319E-2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32"/>
  <sheetViews>
    <sheetView workbookViewId="0"/>
  </sheetViews>
  <sheetFormatPr baseColWidth="10" defaultColWidth="8.83203125" defaultRowHeight="16" x14ac:dyDescent="0.2"/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>
        <v>0</v>
      </c>
      <c r="B2" s="1">
        <v>1</v>
      </c>
      <c r="C2">
        <v>0</v>
      </c>
      <c r="D2" s="1">
        <v>1</v>
      </c>
    </row>
    <row r="3" spans="1:4" x14ac:dyDescent="0.2">
      <c r="A3">
        <v>1</v>
      </c>
      <c r="B3" s="1">
        <v>0.79029653206934469</v>
      </c>
      <c r="C3">
        <v>2</v>
      </c>
      <c r="D3" s="1">
        <v>0.82483122475432291</v>
      </c>
    </row>
    <row r="4" spans="1:4" x14ac:dyDescent="0.2">
      <c r="A4">
        <v>2</v>
      </c>
      <c r="B4" s="1">
        <v>0.64976296061373151</v>
      </c>
      <c r="C4">
        <v>4</v>
      </c>
      <c r="D4" s="1">
        <v>0.7203593282395343</v>
      </c>
    </row>
    <row r="5" spans="1:4" x14ac:dyDescent="0.2">
      <c r="A5">
        <v>3</v>
      </c>
      <c r="B5" s="1">
        <v>0.6082472320178095</v>
      </c>
      <c r="C5">
        <v>6</v>
      </c>
      <c r="D5" s="1">
        <v>0.62304188818878281</v>
      </c>
    </row>
    <row r="6" spans="1:4" x14ac:dyDescent="0.2">
      <c r="A6">
        <v>4</v>
      </c>
      <c r="B6" s="1">
        <v>0.55726026366614723</v>
      </c>
      <c r="C6">
        <v>8</v>
      </c>
      <c r="D6" s="1">
        <v>0.5581867617164511</v>
      </c>
    </row>
    <row r="7" spans="1:4" x14ac:dyDescent="0.2">
      <c r="A7">
        <v>5</v>
      </c>
      <c r="B7" s="1">
        <v>0.45804842623870978</v>
      </c>
      <c r="C7">
        <v>10</v>
      </c>
      <c r="D7" s="1">
        <v>0.55654666545855402</v>
      </c>
    </row>
    <row r="8" spans="1:4" x14ac:dyDescent="0.2">
      <c r="A8">
        <v>6</v>
      </c>
      <c r="B8" s="1">
        <v>0.43479811047907013</v>
      </c>
      <c r="C8">
        <v>12</v>
      </c>
      <c r="D8" s="1">
        <v>0.43934832899406945</v>
      </c>
    </row>
    <row r="9" spans="1:4" x14ac:dyDescent="0.2">
      <c r="A9">
        <v>7</v>
      </c>
      <c r="B9" s="1">
        <v>0.39830381273255383</v>
      </c>
      <c r="C9">
        <v>14</v>
      </c>
      <c r="D9" s="1">
        <v>0.38001030777140671</v>
      </c>
    </row>
    <row r="10" spans="1:4" x14ac:dyDescent="0.2">
      <c r="A10">
        <v>8</v>
      </c>
      <c r="B10" s="1">
        <v>0.38734995083140655</v>
      </c>
      <c r="C10">
        <v>16</v>
      </c>
      <c r="D10" s="1">
        <v>0.41457084891360624</v>
      </c>
    </row>
    <row r="11" spans="1:4" x14ac:dyDescent="0.2">
      <c r="A11">
        <v>9</v>
      </c>
      <c r="B11" s="1">
        <v>0.33485737565120066</v>
      </c>
      <c r="C11">
        <v>18</v>
      </c>
      <c r="D11" s="1">
        <v>0.39341047379329752</v>
      </c>
    </row>
    <row r="12" spans="1:4" x14ac:dyDescent="0.2">
      <c r="A12">
        <v>10</v>
      </c>
      <c r="B12" s="1">
        <v>0.28121168086814036</v>
      </c>
      <c r="C12">
        <v>20</v>
      </c>
      <c r="D12" s="1">
        <v>0.33703085251659448</v>
      </c>
    </row>
    <row r="13" spans="1:4" x14ac:dyDescent="0.2">
      <c r="A13">
        <v>11</v>
      </c>
      <c r="B13" s="1">
        <v>0.32374598395505677</v>
      </c>
      <c r="C13">
        <v>22</v>
      </c>
      <c r="D13" s="1">
        <v>0.31778496889927654</v>
      </c>
    </row>
    <row r="14" spans="1:4" x14ac:dyDescent="0.2">
      <c r="A14">
        <v>12</v>
      </c>
      <c r="B14" s="1">
        <v>0.342206863099834</v>
      </c>
      <c r="C14">
        <v>24</v>
      </c>
      <c r="D14" s="1">
        <v>0.27780591494735885</v>
      </c>
    </row>
    <row r="15" spans="1:4" x14ac:dyDescent="0.2">
      <c r="A15">
        <v>13</v>
      </c>
      <c r="B15" s="1">
        <v>0.24708102552806749</v>
      </c>
      <c r="C15">
        <v>26</v>
      </c>
      <c r="D15" s="1">
        <v>0.24393767786433246</v>
      </c>
    </row>
    <row r="16" spans="1:4" x14ac:dyDescent="0.2">
      <c r="A16">
        <v>14</v>
      </c>
      <c r="B16" s="1">
        <v>0.19777686128312227</v>
      </c>
      <c r="C16">
        <v>28</v>
      </c>
      <c r="D16" s="1">
        <v>0.25837901577967393</v>
      </c>
    </row>
    <row r="17" spans="1:4" x14ac:dyDescent="0.2">
      <c r="A17">
        <v>15</v>
      </c>
      <c r="B17" s="1">
        <v>0.24852247519414541</v>
      </c>
      <c r="C17">
        <v>30</v>
      </c>
      <c r="D17" s="1">
        <v>0.22955184197100972</v>
      </c>
    </row>
    <row r="18" spans="1:4" x14ac:dyDescent="0.2">
      <c r="A18">
        <v>16</v>
      </c>
      <c r="B18" s="1">
        <v>0.24314138330298332</v>
      </c>
    </row>
    <row r="19" spans="1:4" x14ac:dyDescent="0.2">
      <c r="A19">
        <v>17</v>
      </c>
      <c r="B19" s="1">
        <v>0.19695546281723569</v>
      </c>
    </row>
    <row r="20" spans="1:4" x14ac:dyDescent="0.2">
      <c r="A20">
        <v>18</v>
      </c>
      <c r="B20" s="1">
        <v>0.26305278233720025</v>
      </c>
    </row>
    <row r="21" spans="1:4" x14ac:dyDescent="0.2">
      <c r="A21">
        <v>19</v>
      </c>
      <c r="B21" s="1">
        <v>0.19168286990716013</v>
      </c>
    </row>
    <row r="22" spans="1:4" x14ac:dyDescent="0.2">
      <c r="A22">
        <v>20</v>
      </c>
      <c r="B22" s="1">
        <v>0.2227272312365286</v>
      </c>
    </row>
    <row r="23" spans="1:4" x14ac:dyDescent="0.2">
      <c r="A23">
        <v>21</v>
      </c>
      <c r="B23" s="1">
        <v>0.17444820035057562</v>
      </c>
    </row>
    <row r="24" spans="1:4" x14ac:dyDescent="0.2">
      <c r="A24">
        <v>22</v>
      </c>
      <c r="B24" s="1">
        <v>0.2392028124303085</v>
      </c>
    </row>
    <row r="25" spans="1:4" x14ac:dyDescent="0.2">
      <c r="A25">
        <v>23</v>
      </c>
      <c r="B25" s="1">
        <v>0.18634011854478372</v>
      </c>
    </row>
    <row r="26" spans="1:4" x14ac:dyDescent="0.2">
      <c r="A26">
        <v>24</v>
      </c>
      <c r="B26" s="1">
        <v>0.16762064052392239</v>
      </c>
    </row>
    <row r="27" spans="1:4" x14ac:dyDescent="0.2">
      <c r="A27">
        <v>25</v>
      </c>
      <c r="B27" s="1">
        <v>0.14509821483633312</v>
      </c>
    </row>
    <row r="28" spans="1:4" x14ac:dyDescent="0.2">
      <c r="A28">
        <v>26</v>
      </c>
      <c r="B28" s="1">
        <v>0.14288636467484836</v>
      </c>
    </row>
    <row r="29" spans="1:4" x14ac:dyDescent="0.2">
      <c r="A29">
        <v>27</v>
      </c>
      <c r="B29" s="1">
        <v>0.19826392504562407</v>
      </c>
    </row>
    <row r="30" spans="1:4" x14ac:dyDescent="0.2">
      <c r="A30">
        <v>28</v>
      </c>
      <c r="B30" s="1">
        <v>0.13941655849901213</v>
      </c>
    </row>
    <row r="31" spans="1:4" x14ac:dyDescent="0.2">
      <c r="A31">
        <v>29</v>
      </c>
      <c r="B31" s="1">
        <v>0.11827054934702785</v>
      </c>
    </row>
    <row r="32" spans="1:4" x14ac:dyDescent="0.2">
      <c r="A32">
        <v>30</v>
      </c>
      <c r="B32" s="1">
        <v>0.1651837823437797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32"/>
  <sheetViews>
    <sheetView tabSelected="1" workbookViewId="0">
      <selection activeCell="AA52" sqref="AA52"/>
    </sheetView>
  </sheetViews>
  <sheetFormatPr baseColWidth="10" defaultColWidth="8.83203125" defaultRowHeight="16" x14ac:dyDescent="0.2"/>
  <cols>
    <col min="1" max="1" width="11" customWidth="1"/>
    <col min="2" max="2" width="12" customWidth="1"/>
    <col min="3" max="3" width="11" customWidth="1"/>
    <col min="4" max="4" width="12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 s="3">
        <v>0</v>
      </c>
      <c r="B2" s="1">
        <v>1</v>
      </c>
      <c r="C2" s="3">
        <v>0</v>
      </c>
      <c r="D2" s="1">
        <v>1</v>
      </c>
    </row>
    <row r="3" spans="1:4" x14ac:dyDescent="0.2">
      <c r="A3" s="3">
        <v>1</v>
      </c>
      <c r="B3" s="1">
        <v>1</v>
      </c>
      <c r="C3" s="3">
        <v>2</v>
      </c>
      <c r="D3" s="1">
        <v>0.99093871580037296</v>
      </c>
    </row>
    <row r="4" spans="1:4" x14ac:dyDescent="0.2">
      <c r="A4" s="3">
        <v>2</v>
      </c>
      <c r="B4" s="1">
        <v>1</v>
      </c>
      <c r="C4" s="3">
        <v>4</v>
      </c>
      <c r="D4" s="1">
        <v>1</v>
      </c>
    </row>
    <row r="5" spans="1:4" x14ac:dyDescent="0.2">
      <c r="A5" s="3">
        <v>3</v>
      </c>
      <c r="B5" s="1">
        <v>0.98085149839371943</v>
      </c>
      <c r="C5" s="3">
        <v>6</v>
      </c>
      <c r="D5" s="1">
        <v>0.96944133018018452</v>
      </c>
    </row>
    <row r="6" spans="1:4" x14ac:dyDescent="0.2">
      <c r="A6" s="3">
        <v>4</v>
      </c>
      <c r="B6" s="1">
        <v>1</v>
      </c>
      <c r="C6" s="3">
        <v>8</v>
      </c>
      <c r="D6" s="1">
        <v>0.97658437705716794</v>
      </c>
    </row>
    <row r="7" spans="1:4" x14ac:dyDescent="0.2">
      <c r="A7" s="3">
        <v>5</v>
      </c>
      <c r="B7" s="1">
        <v>1</v>
      </c>
      <c r="C7" s="3">
        <v>10</v>
      </c>
      <c r="D7" s="1">
        <v>0.96139792713438676</v>
      </c>
    </row>
    <row r="8" spans="1:4" x14ac:dyDescent="0.2">
      <c r="A8" s="3">
        <v>6</v>
      </c>
      <c r="B8" s="1">
        <v>0.97276622833821003</v>
      </c>
      <c r="C8" s="3">
        <v>12</v>
      </c>
      <c r="D8" s="1">
        <v>0.93935728671161334</v>
      </c>
    </row>
    <row r="9" spans="1:4" x14ac:dyDescent="0.2">
      <c r="A9" s="3">
        <v>7</v>
      </c>
      <c r="B9" s="1">
        <v>0.95120167342666384</v>
      </c>
      <c r="C9" s="3">
        <v>14</v>
      </c>
      <c r="D9" s="1">
        <v>0.94613065791768403</v>
      </c>
    </row>
    <row r="10" spans="1:4" x14ac:dyDescent="0.2">
      <c r="A10" s="3">
        <v>8</v>
      </c>
      <c r="B10" s="1">
        <v>0.91628966385972477</v>
      </c>
      <c r="C10" s="3">
        <v>16</v>
      </c>
      <c r="D10" s="1">
        <v>0.90839493670991256</v>
      </c>
    </row>
    <row r="11" spans="1:4" x14ac:dyDescent="0.2">
      <c r="A11" s="3">
        <v>9</v>
      </c>
      <c r="B11" s="1">
        <v>0.90037802631848385</v>
      </c>
      <c r="C11" s="3">
        <v>18</v>
      </c>
      <c r="D11" s="1">
        <v>0.86020683708988621</v>
      </c>
    </row>
    <row r="12" spans="1:4" x14ac:dyDescent="0.2">
      <c r="A12" s="3">
        <v>10</v>
      </c>
      <c r="B12" s="1">
        <v>0.81834911663052967</v>
      </c>
      <c r="C12" s="3">
        <v>20</v>
      </c>
      <c r="D12" s="1">
        <v>0.80022331397660718</v>
      </c>
    </row>
    <row r="13" spans="1:4" x14ac:dyDescent="0.2">
      <c r="A13" s="3">
        <v>11</v>
      </c>
      <c r="B13" s="1">
        <v>0.73351901176104617</v>
      </c>
      <c r="C13" s="3">
        <v>22</v>
      </c>
      <c r="D13" s="1">
        <v>0.66005908166987226</v>
      </c>
    </row>
    <row r="14" spans="1:4" x14ac:dyDescent="0.2">
      <c r="A14" s="3">
        <v>12</v>
      </c>
      <c r="B14" s="1">
        <v>0.69898837388275592</v>
      </c>
      <c r="C14" s="3">
        <v>24</v>
      </c>
      <c r="D14" s="1">
        <v>0.56515851475287415</v>
      </c>
    </row>
    <row r="15" spans="1:4" x14ac:dyDescent="0.2">
      <c r="A15" s="3">
        <v>13</v>
      </c>
      <c r="B15" s="1">
        <v>0.53229350111201235</v>
      </c>
      <c r="C15" s="3">
        <v>26</v>
      </c>
      <c r="D15" s="1">
        <v>0.48741855570941833</v>
      </c>
    </row>
    <row r="16" spans="1:4" x14ac:dyDescent="0.2">
      <c r="A16" s="3">
        <v>14</v>
      </c>
      <c r="B16" s="1">
        <v>0.42721621286578204</v>
      </c>
      <c r="C16" s="3">
        <v>28</v>
      </c>
      <c r="D16" s="1">
        <v>0.35433826805886826</v>
      </c>
    </row>
    <row r="17" spans="1:4" x14ac:dyDescent="0.2">
      <c r="A17" s="3">
        <v>15</v>
      </c>
      <c r="B17" s="1">
        <v>0.34688764770678099</v>
      </c>
      <c r="C17" s="3">
        <v>30</v>
      </c>
      <c r="D17" s="1">
        <v>0.27357276583236467</v>
      </c>
    </row>
    <row r="18" spans="1:4" x14ac:dyDescent="0.2">
      <c r="A18" s="3">
        <v>16</v>
      </c>
      <c r="B18" s="1">
        <v>0.27560021612194263</v>
      </c>
      <c r="C18" s="3"/>
      <c r="D18" s="1"/>
    </row>
    <row r="19" spans="1:4" x14ac:dyDescent="0.2">
      <c r="A19" s="3">
        <v>17</v>
      </c>
      <c r="B19" s="1">
        <v>0.21166319542967629</v>
      </c>
      <c r="C19" s="3"/>
      <c r="D19" s="1"/>
    </row>
    <row r="20" spans="1:4" x14ac:dyDescent="0.2">
      <c r="A20" s="3">
        <v>18</v>
      </c>
      <c r="B20" s="1">
        <v>0.17238315131393658</v>
      </c>
      <c r="C20" s="3"/>
      <c r="D20" s="1"/>
    </row>
    <row r="21" spans="1:4" x14ac:dyDescent="0.2">
      <c r="A21" s="3">
        <v>19</v>
      </c>
      <c r="B21" s="1">
        <v>0.13622334866208347</v>
      </c>
      <c r="C21" s="3"/>
      <c r="D21" s="1"/>
    </row>
    <row r="22" spans="1:4" x14ac:dyDescent="0.2">
      <c r="A22" s="3">
        <v>20</v>
      </c>
      <c r="B22" s="1">
        <v>0.11253114083511336</v>
      </c>
      <c r="C22" s="3"/>
      <c r="D22" s="1"/>
    </row>
    <row r="23" spans="1:4" x14ac:dyDescent="0.2">
      <c r="A23" s="3">
        <v>21</v>
      </c>
      <c r="B23" s="1">
        <v>0.13101825677972351</v>
      </c>
      <c r="C23" s="3"/>
      <c r="D23" s="1"/>
    </row>
    <row r="24" spans="1:4" x14ac:dyDescent="0.2">
      <c r="A24" s="3">
        <v>22</v>
      </c>
      <c r="B24" s="1">
        <v>0.11018850131993417</v>
      </c>
      <c r="C24" s="3"/>
      <c r="D24" s="1"/>
    </row>
    <row r="25" spans="1:4" x14ac:dyDescent="0.2">
      <c r="A25" s="3">
        <v>23</v>
      </c>
      <c r="B25" s="1">
        <v>9.8897132377756949E-2</v>
      </c>
      <c r="C25" s="3"/>
      <c r="D25" s="1"/>
    </row>
    <row r="26" spans="1:4" x14ac:dyDescent="0.2">
      <c r="A26" s="3">
        <v>24</v>
      </c>
      <c r="B26" s="1">
        <v>8.2950614192372943E-2</v>
      </c>
      <c r="C26" s="3"/>
      <c r="D26" s="1"/>
    </row>
    <row r="27" spans="1:4" x14ac:dyDescent="0.2">
      <c r="A27" s="3">
        <v>25</v>
      </c>
      <c r="B27" s="1">
        <v>0.10702248276634438</v>
      </c>
      <c r="C27" s="3"/>
      <c r="D27" s="1"/>
    </row>
    <row r="28" spans="1:4" x14ac:dyDescent="0.2">
      <c r="A28" s="3">
        <v>26</v>
      </c>
      <c r="B28" s="1">
        <v>8.1401381042320503E-2</v>
      </c>
      <c r="C28" s="3"/>
      <c r="D28" s="1"/>
    </row>
    <row r="29" spans="1:4" x14ac:dyDescent="0.2">
      <c r="A29" s="3">
        <v>27</v>
      </c>
      <c r="B29" s="1">
        <v>0.10159298998690985</v>
      </c>
      <c r="C29" s="3"/>
      <c r="D29" s="1"/>
    </row>
    <row r="30" spans="1:4" x14ac:dyDescent="0.2">
      <c r="A30" s="3">
        <v>28</v>
      </c>
      <c r="B30" s="1">
        <v>5.6274003873482005E-2</v>
      </c>
      <c r="C30" s="3"/>
      <c r="D30" s="1"/>
    </row>
    <row r="31" spans="1:4" x14ac:dyDescent="0.2">
      <c r="A31" s="3">
        <v>29</v>
      </c>
      <c r="B31" s="1">
        <v>0.11385035515142579</v>
      </c>
      <c r="C31" s="3"/>
      <c r="D31" s="1"/>
    </row>
    <row r="32" spans="1:4" x14ac:dyDescent="0.2">
      <c r="A32" s="3">
        <v>30</v>
      </c>
      <c r="B32" s="1">
        <v>4.7033461715773085E-2</v>
      </c>
      <c r="C32" s="3"/>
      <c r="D32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32"/>
  <sheetViews>
    <sheetView workbookViewId="0"/>
  </sheetViews>
  <sheetFormatPr baseColWidth="10" defaultColWidth="8.83203125" defaultRowHeight="16" x14ac:dyDescent="0.2"/>
  <cols>
    <col min="1" max="4" width="13" customWidth="1"/>
  </cols>
  <sheetData>
    <row r="1" spans="1:4" x14ac:dyDescent="0.2">
      <c r="A1" s="2" t="s">
        <v>0</v>
      </c>
      <c r="B1" s="2" t="s">
        <v>1</v>
      </c>
      <c r="C1" s="2" t="s">
        <v>2</v>
      </c>
      <c r="D1" s="2" t="s">
        <v>3</v>
      </c>
    </row>
    <row r="2" spans="1:4" x14ac:dyDescent="0.2">
      <c r="A2">
        <v>0</v>
      </c>
      <c r="B2" s="1">
        <v>0.99993987496438708</v>
      </c>
      <c r="C2">
        <v>0</v>
      </c>
      <c r="D2" s="1">
        <v>0.99991115590528989</v>
      </c>
    </row>
    <row r="3" spans="1:4" x14ac:dyDescent="0.2">
      <c r="A3">
        <v>1</v>
      </c>
      <c r="B3" s="1">
        <v>0.99046346476885039</v>
      </c>
      <c r="C3">
        <v>2</v>
      </c>
      <c r="D3" s="1">
        <v>0.90126037425224215</v>
      </c>
    </row>
    <row r="4" spans="1:4" x14ac:dyDescent="0.2">
      <c r="A4">
        <v>2</v>
      </c>
      <c r="B4" s="1">
        <v>0.91361642184350156</v>
      </c>
      <c r="C4">
        <v>4</v>
      </c>
      <c r="D4" s="1">
        <v>0.94101746663429897</v>
      </c>
    </row>
    <row r="5" spans="1:4" x14ac:dyDescent="0.2">
      <c r="A5">
        <v>3</v>
      </c>
      <c r="B5" s="1">
        <v>0.90263853859286369</v>
      </c>
      <c r="C5">
        <v>6</v>
      </c>
      <c r="D5" s="1">
        <v>0.89355737303284855</v>
      </c>
    </row>
    <row r="6" spans="1:4" x14ac:dyDescent="0.2">
      <c r="A6">
        <v>4</v>
      </c>
      <c r="B6" s="1">
        <v>0.84624961554912093</v>
      </c>
      <c r="C6">
        <v>8</v>
      </c>
      <c r="D6" s="1">
        <v>0.91338965082944845</v>
      </c>
    </row>
    <row r="7" spans="1:4" x14ac:dyDescent="0.2">
      <c r="A7">
        <v>5</v>
      </c>
      <c r="B7" s="1">
        <v>0.85722750772873457</v>
      </c>
      <c r="C7">
        <v>10</v>
      </c>
      <c r="D7" s="1">
        <v>0.84062499347672082</v>
      </c>
    </row>
    <row r="8" spans="1:4" x14ac:dyDescent="0.2">
      <c r="A8">
        <v>6</v>
      </c>
      <c r="B8" s="1">
        <v>0.84825524904461103</v>
      </c>
      <c r="C8">
        <v>12</v>
      </c>
      <c r="D8" s="1">
        <v>0.82502479499280701</v>
      </c>
    </row>
    <row r="9" spans="1:4" x14ac:dyDescent="0.2">
      <c r="A9">
        <v>7</v>
      </c>
      <c r="B9" s="1">
        <v>0.81730366931038168</v>
      </c>
      <c r="C9">
        <v>14</v>
      </c>
      <c r="D9" s="1">
        <v>0.76255616042954488</v>
      </c>
    </row>
    <row r="10" spans="1:4" x14ac:dyDescent="0.2">
      <c r="A10">
        <v>8</v>
      </c>
      <c r="B10" s="1">
        <v>0.79979792717013409</v>
      </c>
      <c r="C10">
        <v>16</v>
      </c>
      <c r="D10" s="1">
        <v>0.64445166995126868</v>
      </c>
    </row>
    <row r="11" spans="1:4" x14ac:dyDescent="0.2">
      <c r="A11">
        <v>9</v>
      </c>
      <c r="B11" s="1">
        <v>0.77458039537377044</v>
      </c>
      <c r="C11">
        <v>18</v>
      </c>
      <c r="D11" s="1">
        <v>0.50648469520058914</v>
      </c>
    </row>
    <row r="12" spans="1:4" x14ac:dyDescent="0.2">
      <c r="A12">
        <v>10</v>
      </c>
      <c r="B12" s="1">
        <v>0.77343903480447085</v>
      </c>
      <c r="C12">
        <v>20</v>
      </c>
      <c r="D12" s="1">
        <v>0.33745380218220289</v>
      </c>
    </row>
    <row r="13" spans="1:4" x14ac:dyDescent="0.2">
      <c r="A13">
        <v>11</v>
      </c>
      <c r="B13" s="1">
        <v>0.70885073456145842</v>
      </c>
      <c r="C13">
        <v>22</v>
      </c>
      <c r="D13" s="1">
        <v>0.23395410332495559</v>
      </c>
    </row>
    <row r="14" spans="1:4" x14ac:dyDescent="0.2">
      <c r="A14">
        <v>12</v>
      </c>
      <c r="B14" s="1">
        <v>0.63917723690178974</v>
      </c>
      <c r="C14">
        <v>24</v>
      </c>
      <c r="D14" s="1">
        <v>0.19496513336031773</v>
      </c>
    </row>
    <row r="15" spans="1:4" x14ac:dyDescent="0.2">
      <c r="A15">
        <v>13</v>
      </c>
      <c r="B15" s="1">
        <v>0.61213768885100328</v>
      </c>
      <c r="C15">
        <v>26</v>
      </c>
      <c r="D15" s="1">
        <v>0.12531057340406151</v>
      </c>
    </row>
    <row r="16" spans="1:4" x14ac:dyDescent="0.2">
      <c r="A16">
        <v>14</v>
      </c>
      <c r="B16" s="1">
        <v>0.44529261647610774</v>
      </c>
      <c r="C16">
        <v>28</v>
      </c>
      <c r="D16" s="1">
        <v>0.12594842966610262</v>
      </c>
    </row>
    <row r="17" spans="1:4" x14ac:dyDescent="0.2">
      <c r="A17">
        <v>15</v>
      </c>
      <c r="B17" s="1">
        <v>0.34033707949434394</v>
      </c>
      <c r="C17">
        <v>30</v>
      </c>
      <c r="D17" s="1">
        <v>0.14896676304516368</v>
      </c>
    </row>
    <row r="18" spans="1:4" x14ac:dyDescent="0.2">
      <c r="A18">
        <v>16</v>
      </c>
      <c r="B18" s="1">
        <v>0.26834011646529993</v>
      </c>
    </row>
    <row r="19" spans="1:4" x14ac:dyDescent="0.2">
      <c r="A19">
        <v>17</v>
      </c>
      <c r="B19" s="1">
        <v>0.21369458098436492</v>
      </c>
    </row>
    <row r="20" spans="1:4" x14ac:dyDescent="0.2">
      <c r="A20">
        <v>18</v>
      </c>
      <c r="B20" s="1">
        <v>0.16946291680578443</v>
      </c>
    </row>
    <row r="21" spans="1:4" x14ac:dyDescent="0.2">
      <c r="A21">
        <v>19</v>
      </c>
      <c r="B21" s="1">
        <v>0.14820271543933519</v>
      </c>
    </row>
    <row r="22" spans="1:4" x14ac:dyDescent="0.2">
      <c r="A22">
        <v>20</v>
      </c>
      <c r="B22" s="1">
        <v>0.12626643601182891</v>
      </c>
    </row>
    <row r="23" spans="1:4" x14ac:dyDescent="0.2">
      <c r="A23">
        <v>21</v>
      </c>
      <c r="B23" s="1">
        <v>0.11285224646894372</v>
      </c>
    </row>
    <row r="24" spans="1:4" x14ac:dyDescent="0.2">
      <c r="A24">
        <v>22</v>
      </c>
      <c r="B24" s="1">
        <v>0.13836997338461904</v>
      </c>
    </row>
    <row r="25" spans="1:4" x14ac:dyDescent="0.2">
      <c r="A25">
        <v>23</v>
      </c>
      <c r="B25" s="1">
        <v>0.12218319378472152</v>
      </c>
    </row>
    <row r="26" spans="1:4" x14ac:dyDescent="0.2">
      <c r="A26">
        <v>24</v>
      </c>
      <c r="B26" s="1">
        <v>0.11388717476647132</v>
      </c>
    </row>
    <row r="27" spans="1:4" x14ac:dyDescent="0.2">
      <c r="A27">
        <v>25</v>
      </c>
      <c r="B27" s="1">
        <v>9.9842123551631815E-2</v>
      </c>
    </row>
    <row r="28" spans="1:4" x14ac:dyDescent="0.2">
      <c r="A28">
        <v>26</v>
      </c>
      <c r="B28" s="1">
        <v>0.12510710700988623</v>
      </c>
    </row>
    <row r="29" spans="1:4" x14ac:dyDescent="0.2">
      <c r="A29">
        <v>27</v>
      </c>
      <c r="B29" s="1">
        <v>0.10022812260491373</v>
      </c>
    </row>
    <row r="30" spans="1:4" x14ac:dyDescent="0.2">
      <c r="A30">
        <v>28</v>
      </c>
      <c r="B30" s="1">
        <v>0.12087814241239786</v>
      </c>
    </row>
    <row r="31" spans="1:4" x14ac:dyDescent="0.2">
      <c r="A31">
        <v>29</v>
      </c>
      <c r="B31" s="1">
        <v>7.5840690813165995E-2</v>
      </c>
    </row>
    <row r="32" spans="1:4" x14ac:dyDescent="0.2">
      <c r="A32">
        <v>30</v>
      </c>
      <c r="B32" s="1">
        <v>0.13358907181415555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Single exponential (smooth)</vt:lpstr>
      <vt:lpstr>Stretched exponential (smooth)</vt:lpstr>
      <vt:lpstr>Double exponential (smooth)</vt:lpstr>
      <vt:lpstr>One-phase mass loss (smooth)</vt:lpstr>
      <vt:lpstr>Two-phase mass loss (smooth)</vt:lpstr>
      <vt:lpstr>Single exponential (noisy)</vt:lpstr>
      <vt:lpstr>Stretched exponential (noisy)</vt:lpstr>
      <vt:lpstr>Double exponential (noisy)</vt:lpstr>
      <vt:lpstr>One-phase mass loss (noisy)</vt:lpstr>
      <vt:lpstr>Two-phase mass loss (noisy)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Elder, Robert</cp:lastModifiedBy>
  <dcterms:modified xsi:type="dcterms:W3CDTF">2026-09-24T19:24:11Z</dcterms:modified>
</cp:coreProperties>
</file>